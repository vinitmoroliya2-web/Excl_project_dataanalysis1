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CTUS\Desktop\"/>
    </mc:Choice>
  </mc:AlternateContent>
  <xr:revisionPtr revIDLastSave="0" documentId="8_{AFCEDECD-225E-4389-AAF9-C2ED119D890E}"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Pivot Table" sheetId="6" r:id="rId3"/>
    <sheet name="Dashbord" sheetId="7" r:id="rId4"/>
  </sheets>
  <definedNames>
    <definedName name="_xlnm._FilterDatabase" localSheetId="0" hidden="1">bike_buyers!$A$1:$M$1001</definedName>
    <definedName name="_xlnm._FilterDatabase" localSheetId="1" hidden="1">'Working sheet'!$A$1:$N$1027</definedName>
    <definedName name="Slicer_Education">#N/A</definedName>
    <definedName name="Slicer_Marriedarital_SingletatuSingle1">#N/A</definedName>
    <definedName name="Slicer_Occup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<sst xmlns="http://schemas.openxmlformats.org/spreadsheetml/2006/main" count="16267" uniqueCount="52">
  <si>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</si>
  <si>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</si>
  <si>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</si>
  <si>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</si>
  <si>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</si>
  <si>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</si>
  <si>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</si>
  <si>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</si>
  <si>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</si>
  <si>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</si>
  <si>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</si>
  <si>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</si>
  <si>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</si>
  <si>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</si>
  <si>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</si>
  <si>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</si>
  <si>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</si>
  <si>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</si>
  <si>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</si>
  <si>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</si>
  <si>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</si>
  <si>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</si>
  <si>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</si>
  <si>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</si>
  <si>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</si>
  <si>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</si>
  <si>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</si>
  <si>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</si>
  <si>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</si>
  <si>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</si>
  <si>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</si>
  <si>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</si>
  <si>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</si>
  <si>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</si>
  <si>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</si>
  <si>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</si>
  <si>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</si>
  <si>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</si>
  <si>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</si>
  <si>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</si>
  <si>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</si>
  <si>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Age_group</t>
  </si>
  <si>
    <t>Row Labels</t>
  </si>
  <si>
    <t>Grand Total</t>
  </si>
  <si>
    <t>Average of Income</t>
  </si>
  <si>
    <t>Column Labels</t>
  </si>
  <si>
    <t>Count of Purchased Bike</t>
  </si>
  <si>
    <t>10 Miles +</t>
  </si>
  <si>
    <t>Adolescent</t>
  </si>
  <si>
    <t>Middle Age</t>
  </si>
  <si>
    <t>Old</t>
  </si>
  <si>
    <t>Bike Sales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</si>
</sst>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[Excell_project_bike_sales.xlsx]Pivot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Commute and bike puechase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Table'!$A$3:$A$8</c:f>
              <c:strCache>
                <c:ptCount val="5"/>
                <c:pt idx="0">
                  <c:v>0-1 Miles</c:v>
                </c:pt>
                <c:pt idx="1">
                  <c:v>2-5 Miles</c:v>
                </c:pt>
                <c:pt idx="2">
                  <c:v>10 Miles +</c:v>
                </c:pt>
                <c:pt idx="3">
                  <c:v>1-2 Miles</c:v>
                </c:pt>
                <c:pt idx="4">
                  <c:v>5-10 Miles</c:v>
                </c:pt>
              </c:strCache>
            </c:strRef>
          </c:cat>
          <c:val>
            <c:numRef>
              <c:f>'Pivot Table'!$B$3:$B$8</c:f>
              <c:numCache>
                <c:formatCode>0</c:formatCode>
                <c:ptCount val="5"/>
                <c:pt idx="0">
                  <c:v>33</c:v>
                </c:pt>
                <c:pt idx="1">
                  <c:v>17</c:v>
                </c:pt>
                <c:pt idx="2">
                  <c:v>21</c:v>
                </c:pt>
                <c:pt idx="3">
                  <c:v>10</c:v>
                </c:pt>
                <c:pt idx="4">
                  <c:v>7</c:v>
                </c:pt>
              </c:numCache>
            </c:numRef>
          </c:val>
          <c:smooth val="0"/>
          <c:extLst>
            <c:ext xmlns:c16="http://schemas.microsoft.com/office/drawing/2014/chart" uri="{C3380CC4-5D6E-409C-BE32-E72D297353CC}">
              <c16:uniqueId val="{00000000-8922-43EA-8824-2D5FF71A28BB}"/>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Table'!$A$3:$A$8</c:f>
              <c:strCache>
                <c:ptCount val="5"/>
                <c:pt idx="0">
                  <c:v>0-1 Miles</c:v>
                </c:pt>
                <c:pt idx="1">
                  <c:v>2-5 Miles</c:v>
                </c:pt>
                <c:pt idx="2">
                  <c:v>10 Miles +</c:v>
                </c:pt>
                <c:pt idx="3">
                  <c:v>1-2 Miles</c:v>
                </c:pt>
                <c:pt idx="4">
                  <c:v>5-10 Miles</c:v>
                </c:pt>
              </c:strCache>
            </c:strRef>
          </c:cat>
          <c:val>
            <c:numRef>
              <c:f>'Pivot Table'!$C$3:$C$8</c:f>
              <c:numCache>
                <c:formatCode>0</c:formatCode>
                <c:ptCount val="5"/>
                <c:pt idx="0">
                  <c:v>50</c:v>
                </c:pt>
                <c:pt idx="1">
                  <c:v>11</c:v>
                </c:pt>
                <c:pt idx="2">
                  <c:v>3</c:v>
                </c:pt>
                <c:pt idx="3">
                  <c:v>11</c:v>
                </c:pt>
                <c:pt idx="4">
                  <c:v>3</c:v>
                </c:pt>
              </c:numCache>
            </c:numRef>
          </c:val>
          <c:smooth val="0"/>
          <c:extLst>
            <c:ext xmlns:c16="http://schemas.microsoft.com/office/drawing/2014/chart" uri="{C3380CC4-5D6E-409C-BE32-E72D297353CC}">
              <c16:uniqueId val="{00000001-8922-43EA-8824-2D5FF71A28BB}"/>
            </c:ext>
          </c:extLst>
        </c:ser>
        <c:dLbls>
          <c:showLegendKey val="0"/>
          <c:showVal val="0"/>
          <c:showCatName val="0"/>
          <c:showSerName val="0"/>
          <c:showPercent val="0"/>
          <c:showBubbleSize val="0"/>
        </c:dLbls>
        <c:smooth val="0"/>
        <c:axId val="1248033760"/>
        <c:axId val="1248044800"/>
      </c:lineChart>
      <c:catAx>
        <c:axId val="124803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44800"/>
        <c:crosses val="autoZero"/>
        <c:auto val="1"/>
        <c:lblAlgn val="ctr"/>
        <c:lblOffset val="100"/>
        <c:noMultiLvlLbl val="0"/>
      </c:catAx>
      <c:valAx>
        <c:axId val="1248044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33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[Excell_project_bike_sales.xlsx]Pivot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and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Table'!$H$6:$H$7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Table'!$G$8:$G$10</c:f>
              <c:strCache>
                <c:ptCount val="2"/>
                <c:pt idx="0">
                  <c:v>Female</c:v>
                </c:pt>
                <c:pt idx="1">
                  <c:v>Male</c:v>
                </c:pt>
              </c:strCache>
            </c:strRef>
          </c:cat>
          <c:val>
            <c:numRef>
              <c:f>'Pivot Table'!$H$8:$H$10</c:f>
              <c:numCache>
                <c:formatCode>0</c:formatCode>
                <c:ptCount val="2"/>
                <c:pt idx="0">
                  <c:v>59210.526315789473</c:v>
                </c:pt>
                <c:pt idx="1">
                  <c:v>65000</c:v>
                </c:pt>
              </c:numCache>
            </c:numRef>
          </c:val>
          <c:extLst>
            <c:ext xmlns:c16="http://schemas.microsoft.com/office/drawing/2014/chart" uri="{C3380CC4-5D6E-409C-BE32-E72D297353CC}">
              <c16:uniqueId val="{00000000-4DE0-4F30-9076-E0AFCC062FDE}"/>
            </c:ext>
          </c:extLst>
        </c:ser>
        <c:ser>
          <c:idx val="1"/>
          <c:order val="1"/>
          <c:tx>
            <c:strRef>
              <c:f>'Pivot Table'!$I$6:$I$7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Table'!$G$8:$G$10</c:f>
              <c:strCache>
                <c:ptCount val="2"/>
                <c:pt idx="0">
                  <c:v>Female</c:v>
                </c:pt>
                <c:pt idx="1">
                  <c:v>Male</c:v>
                </c:pt>
              </c:strCache>
            </c:strRef>
          </c:cat>
          <c:val>
            <c:numRef>
              <c:f>'Pivot Table'!$I$8:$I$10</c:f>
              <c:numCache>
                <c:formatCode>0</c:formatCode>
                <c:ptCount val="2"/>
                <c:pt idx="0">
                  <c:v>59523.809523809527</c:v>
                </c:pt>
                <c:pt idx="1">
                  <c:v>52500</c:v>
                </c:pt>
              </c:numCache>
            </c:numRef>
          </c:val>
          <c:extLst>
            <c:ext xmlns:c16="http://schemas.microsoft.com/office/drawing/2014/chart" uri="{C3380CC4-5D6E-409C-BE32-E72D297353CC}">
              <c16:uniqueId val="{00000001-4DE0-4F30-9076-E0AFCC062FDE}"/>
            </c:ext>
          </c:extLst>
        </c:ser>
        <c:dLbls>
          <c:dLblPos val="outEnd"/>
          <c:showLegendKey val="0"/>
          <c:showVal val="1"/>
          <c:showCatName val="0"/>
          <c:showSerName val="0"/>
          <c:showPercent val="0"/>
          <c:showBubbleSize val="0"/>
        </c:dLbls>
        <c:gapWidth val="219"/>
        <c:overlap val="-27"/>
        <c:axId val="1244255376"/>
        <c:axId val="1244251056"/>
      </c:barChart>
      <c:catAx>
        <c:axId val="124425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51056"/>
        <c:crosses val="autoZero"/>
        <c:auto val="1"/>
        <c:lblAlgn val="ctr"/>
        <c:lblOffset val="100"/>
        <c:noMultiLvlLbl val="0"/>
      </c:catAx>
      <c:valAx>
        <c:axId val="124425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5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[Excell_project_bike_sales.xlsx]Pivot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and bike purchased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Table'!$A$30:$A$33</c:f>
              <c:strCache>
                <c:ptCount val="3"/>
                <c:pt idx="0">
                  <c:v>Adolescent</c:v>
                </c:pt>
                <c:pt idx="1">
                  <c:v>Middle Age</c:v>
                </c:pt>
                <c:pt idx="2">
                  <c:v>Old</c:v>
                </c:pt>
              </c:strCache>
            </c:strRef>
          </c:cat>
          <c:val>
            <c:numRef>
              <c:f>'Pivot Table'!$B$30:$B$33</c:f>
              <c:numCache>
                <c:formatCode>General</c:formatCode>
                <c:ptCount val="3"/>
                <c:pt idx="0">
                  <c:v>7</c:v>
                </c:pt>
                <c:pt idx="1">
                  <c:v>60</c:v>
                </c:pt>
                <c:pt idx="2">
                  <c:v>21</c:v>
                </c:pt>
              </c:numCache>
            </c:numRef>
          </c:val>
          <c:smooth val="0"/>
          <c:extLst>
            <c:ext xmlns:c16="http://schemas.microsoft.com/office/drawing/2014/chart" uri="{C3380CC4-5D6E-409C-BE32-E72D297353CC}">
              <c16:uniqueId val="{00000000-8E4F-4188-8322-39C1A906D465}"/>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Table'!$A$30:$A$33</c:f>
              <c:strCache>
                <c:ptCount val="3"/>
                <c:pt idx="0">
                  <c:v>Adolescent</c:v>
                </c:pt>
                <c:pt idx="1">
                  <c:v>Middle Age</c:v>
                </c:pt>
                <c:pt idx="2">
                  <c:v>Old</c:v>
                </c:pt>
              </c:strCache>
            </c:strRef>
          </c:cat>
          <c:val>
            <c:numRef>
              <c:f>'Pivot Table'!$C$30:$C$33</c:f>
              <c:numCache>
                <c:formatCode>General</c:formatCode>
                <c:ptCount val="3"/>
                <c:pt idx="0">
                  <c:v>12</c:v>
                </c:pt>
                <c:pt idx="1">
                  <c:v>50</c:v>
                </c:pt>
                <c:pt idx="2">
                  <c:v>16</c:v>
                </c:pt>
              </c:numCache>
            </c:numRef>
          </c:val>
          <c:smooth val="0"/>
          <c:extLst>
            <c:ext xmlns:c16="http://schemas.microsoft.com/office/drawing/2014/chart" uri="{C3380CC4-5D6E-409C-BE32-E72D297353CC}">
              <c16:uniqueId val="{00000001-8E4F-4188-8322-39C1A906D465}"/>
            </c:ext>
          </c:extLst>
        </c:ser>
        <c:dLbls>
          <c:showLegendKey val="0"/>
          <c:showVal val="0"/>
          <c:showCatName val="0"/>
          <c:showSerName val="0"/>
          <c:showPercent val="0"/>
          <c:showBubbleSize val="0"/>
        </c:dLbls>
        <c:smooth val="0"/>
        <c:axId val="1244267856"/>
        <c:axId val="1244261136"/>
      </c:lineChart>
      <c:catAx>
        <c:axId val="124426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61136"/>
        <c:crosses val="autoZero"/>
        <c:auto val="1"/>
        <c:lblAlgn val="ctr"/>
        <c:lblOffset val="100"/>
        <c:noMultiLvlLbl val="0"/>
      </c:catAx>
      <c:valAx>
        <c:axId val="124426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6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473926</xdr:colOff>
      <xdr:row>20</xdr:row>
      <xdr:rowOff>87165</xdr:rowOff>
    </xdr:from>
    <xdr:to>
      <xdr:col>17</xdr:col>
      <xdr:colOff>566853</xdr:colOff>
      <xdr:row>35</xdr:row>
      <xdr:rowOff>4182</xdr:rowOff>
    </xdr:to>
    <xdr:graphicFrame macro="">
      <xdr:nvGraphicFramePr>
        <xdr:cNvPr id="6" name="Chart 5">
          <a:extLst>
            <a:ext uri="{FF2B5EF4-FFF2-40B4-BE49-F238E27FC236}">
              <a16:creationId xmlns:a16="http://schemas.microsoft.com/office/drawing/2014/main" id="{9A03C2EB-8B86-4696-926A-AFD98F7E0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483220</xdr:colOff>
      <xdr:row>5</xdr:row>
      <xdr:rowOff>55755</xdr:rowOff>
    </xdr:from>
    <xdr:to>
      <xdr:col>10</xdr:col>
      <xdr:colOff>241610</xdr:colOff>
      <xdr:row>20</xdr:row>
      <xdr:rowOff>11151</xdr:rowOff>
    </xdr:to>
    <xdr:graphicFrame macro="">
      <xdr:nvGraphicFramePr>
        <xdr:cNvPr id="7" name="Chart 6">
          <a:extLst>
            <a:ext uri="{FF2B5EF4-FFF2-40B4-BE49-F238E27FC236}">
              <a16:creationId xmlns:a16="http://schemas.microsoft.com/office/drawing/2014/main" id="{59227843-FA97-490E-B868-CD9F865DA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306657</xdr:colOff>
      <xdr:row>5</xdr:row>
      <xdr:rowOff>46464</xdr:rowOff>
    </xdr:from>
    <xdr:to>
      <xdr:col>17</xdr:col>
      <xdr:colOff>585438</xdr:colOff>
      <xdr:row>20</xdr:row>
      <xdr:rowOff>1859</xdr:rowOff>
    </xdr:to>
    <xdr:graphicFrame macro="">
      <xdr:nvGraphicFramePr>
        <xdr:cNvPr id="8" name="Chart 7">
          <a:extLst>
            <a:ext uri="{FF2B5EF4-FFF2-40B4-BE49-F238E27FC236}">
              <a16:creationId xmlns:a16="http://schemas.microsoft.com/office/drawing/2014/main" id="{8A80DE0E-CB23-4A0E-B9F0-C0099F7CA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76758</xdr:rowOff>
    </xdr:from>
    <xdr:to>
      <xdr:col>2</xdr:col>
      <xdr:colOff>408879</xdr:colOff>
      <xdr:row>10</xdr:row>
      <xdr:rowOff>103322</xdr:rowOff>
    </xdr:to>
    <mc:AlternateContent xmlns:mc="http://schemas.openxmlformats.org/markup-compatibility/2006" xmlns:a14="http://schemas.microsoft.com/office/drawing/2010/main">
      <mc:Choice Requires="a14">
        <xdr:graphicFrame macro="">
          <xdr:nvGraphicFramePr>
            <xdr:cNvPr id="2" name="Marriedarital SingletatuSingle">
              <a:extLst>
                <a:ext uri="{FF2B5EF4-FFF2-40B4-BE49-F238E27FC236}">
                  <a16:creationId xmlns:a16="http://schemas.microsoft.com/office/drawing/2014/main" id="{442A7143-CF44-5AFA-59BD-5EC0EE5DDC4F}"/>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0" y="991158"/>
              <a:ext cx="1628079" cy="940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27878</xdr:colOff>
      <xdr:row>11</xdr:row>
      <xdr:rowOff>25831</xdr:rowOff>
    </xdr:from>
    <xdr:to>
      <xdr:col>2</xdr:col>
      <xdr:colOff>418170</xdr:colOff>
      <xdr:row>20</xdr:row>
      <xdr:rowOff>142068</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71CE938D-0FE7-15FE-2948-2FDD4CD2CFE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878" y="2037511"/>
              <a:ext cx="1609492" cy="1762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25830</xdr:rowOff>
    </xdr:from>
    <xdr:to>
      <xdr:col>2</xdr:col>
      <xdr:colOff>427464</xdr:colOff>
      <xdr:row>35</xdr:row>
      <xdr:rowOff>9293</xdr:rowOff>
    </xdr:to>
    <mc:AlternateContent xmlns:mc="http://schemas.openxmlformats.org/markup-compatibility/2006" xmlns:a14="http://schemas.microsoft.com/office/drawing/2010/main">
      <mc:Choice Requires="a14">
        <xdr:graphicFrame macro="">
          <xdr:nvGraphicFramePr>
            <xdr:cNvPr id="4" name="Occupation">
              <a:extLst>
                <a:ext uri="{FF2B5EF4-FFF2-40B4-BE49-F238E27FC236}">
                  <a16:creationId xmlns:a16="http://schemas.microsoft.com/office/drawing/2014/main" id="{C0B01840-64CE-698E-5BA3-F78ECBD5B2D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866310"/>
              <a:ext cx="1646664" cy="254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171.51981539352" createdVersion="8" refreshedVersion="8" minRefreshableVersion="3" recordCount="1000" xr:uid="{960A9567-A8EE-4812-AE93-3A7D995F0996}">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acheField>
    <cacheField name="Age" numFmtId="0">
      <sharedItems containsSemiMixedTypes="0" containsString="0" containsNumber="1" containsInteger="1" minValue="25" maxValue="89"/>
    </cacheField>
    <cacheField name="Age_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52174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s v="Europe"/>
    <n v="42"/>
    <x v="0"/>
    <x v="0"/>
  </r>
  <r>
    <n v="24107"/>
    <x v="0"/>
    <x v="1"/>
    <n v="30000"/>
    <n v="3"/>
    <x v="1"/>
    <x v="1"/>
    <s v="Yes"/>
    <n v="1"/>
    <x v="0"/>
    <s v="Europe"/>
    <n v="43"/>
    <x v="0"/>
    <x v="0"/>
  </r>
  <r>
    <n v="14177"/>
    <x v="0"/>
    <x v="1"/>
    <n v="80000"/>
    <n v="5"/>
    <x v="1"/>
    <x v="2"/>
    <s v="No"/>
    <n v="2"/>
    <x v="1"/>
    <s v="Europe"/>
    <n v="60"/>
    <x v="0"/>
    <x v="0"/>
  </r>
  <r>
    <n v="24381"/>
    <x v="1"/>
    <x v="1"/>
    <n v="70000"/>
    <n v="0"/>
    <x v="0"/>
    <x v="2"/>
    <s v="Yes"/>
    <n v="1"/>
    <x v="2"/>
    <s v="Pacific"/>
    <n v="41"/>
    <x v="1"/>
    <x v="1"/>
  </r>
  <r>
    <n v="25597"/>
    <x v="1"/>
    <x v="1"/>
    <n v="30000"/>
    <n v="0"/>
    <x v="0"/>
    <x v="1"/>
    <s v="No"/>
    <n v="0"/>
    <x v="0"/>
    <s v="Europe"/>
    <n v="36"/>
    <x v="0"/>
    <x v="1"/>
  </r>
  <r>
    <n v="13507"/>
    <x v="0"/>
    <x v="0"/>
    <n v="10000"/>
    <n v="2"/>
    <x v="1"/>
    <x v="3"/>
    <s v="Yes"/>
    <n v="0"/>
    <x v="3"/>
    <s v="Europe"/>
    <n v="50"/>
    <x v="0"/>
    <x v="0"/>
  </r>
  <r>
    <n v="27974"/>
    <x v="1"/>
    <x v="1"/>
    <n v="160000"/>
    <n v="2"/>
    <x v="2"/>
    <x v="4"/>
    <s v="Yes"/>
    <n v="4"/>
    <x v="0"/>
    <s v="Pacific"/>
    <n v="33"/>
    <x v="1"/>
    <x v="1"/>
  </r>
  <r>
    <n v="19364"/>
    <x v="0"/>
    <x v="1"/>
    <n v="40000"/>
    <n v="1"/>
    <x v="0"/>
    <x v="0"/>
    <s v="Yes"/>
    <n v="0"/>
    <x v="0"/>
    <s v="Europe"/>
    <n v="43"/>
    <x v="0"/>
    <x v="1"/>
  </r>
  <r>
    <n v="22155"/>
    <x v="0"/>
    <x v="1"/>
    <n v="20000"/>
    <n v="2"/>
    <x v="3"/>
    <x v="1"/>
    <s v="Yes"/>
    <n v="2"/>
    <x v="2"/>
    <s v="Pacific"/>
    <n v="58"/>
    <x v="0"/>
    <x v="0"/>
  </r>
  <r>
    <n v="19280"/>
    <x v="0"/>
    <x v="1"/>
    <n v="120000"/>
    <n v="2"/>
    <x v="1"/>
    <x v="3"/>
    <s v="Yes"/>
    <n v="1"/>
    <x v="0"/>
    <s v="Europe"/>
    <n v="40"/>
    <x v="0"/>
    <x v="1"/>
  </r>
  <r>
    <n v="22173"/>
    <x v="0"/>
    <x v="0"/>
    <n v="30000"/>
    <n v="3"/>
    <x v="2"/>
    <x v="0"/>
    <s v="No"/>
    <n v="2"/>
    <x v="3"/>
    <s v="Pacific"/>
    <n v="54"/>
    <x v="1"/>
    <x v="1"/>
  </r>
  <r>
    <n v="12697"/>
    <x v="1"/>
    <x v="0"/>
    <n v="90000"/>
    <n v="0"/>
    <x v="0"/>
    <x v="2"/>
    <s v="No"/>
    <n v="4"/>
    <x v="4"/>
    <s v="Pacific"/>
    <n v="36"/>
    <x v="0"/>
    <x v="0"/>
  </r>
  <r>
    <n v="11434"/>
    <x v="0"/>
    <x v="1"/>
    <n v="170000"/>
    <n v="5"/>
    <x v="1"/>
    <x v="2"/>
    <s v="Yes"/>
    <n v="0"/>
    <x v="0"/>
    <s v="Europe"/>
    <n v="55"/>
    <x v="1"/>
    <x v="0"/>
  </r>
  <r>
    <n v="25323"/>
    <x v="0"/>
    <x v="1"/>
    <n v="40000"/>
    <n v="2"/>
    <x v="1"/>
    <x v="1"/>
    <s v="Yes"/>
    <n v="1"/>
    <x v="3"/>
    <s v="Europe"/>
    <n v="35"/>
    <x v="2"/>
    <x v="1"/>
  </r>
  <r>
    <n v="23542"/>
    <x v="1"/>
    <x v="1"/>
    <n v="60000"/>
    <n v="1"/>
    <x v="1"/>
    <x v="0"/>
    <s v="No"/>
    <n v="1"/>
    <x v="0"/>
    <s v="Pacific"/>
    <n v="45"/>
    <x v="0"/>
    <x v="1"/>
  </r>
  <r>
    <n v="20870"/>
    <x v="1"/>
    <x v="0"/>
    <n v="10000"/>
    <n v="2"/>
    <x v="2"/>
    <x v="3"/>
    <s v="Yes"/>
    <n v="1"/>
    <x v="0"/>
    <s v="Europe"/>
    <n v="38"/>
    <x v="0"/>
    <x v="1"/>
  </r>
  <r>
    <n v="23316"/>
    <x v="1"/>
    <x v="1"/>
    <n v="30000"/>
    <n v="3"/>
    <x v="1"/>
    <x v="1"/>
    <s v="No"/>
    <n v="2"/>
    <x v="3"/>
    <s v="Pacific"/>
    <n v="59"/>
    <x v="0"/>
    <x v="1"/>
  </r>
  <r>
    <n v="12610"/>
    <x v="0"/>
    <x v="0"/>
    <n v="30000"/>
    <n v="1"/>
    <x v="0"/>
    <x v="1"/>
    <s v="Yes"/>
    <n v="0"/>
    <x v="0"/>
    <s v="Europe"/>
    <n v="47"/>
    <x v="1"/>
    <x v="0"/>
  </r>
  <r>
    <n v="27183"/>
    <x v="1"/>
    <x v="1"/>
    <n v="40000"/>
    <n v="2"/>
    <x v="1"/>
    <x v="1"/>
    <s v="Yes"/>
    <n v="1"/>
    <x v="3"/>
    <s v="Europe"/>
    <n v="35"/>
    <x v="2"/>
    <x v="1"/>
  </r>
  <r>
    <n v="25940"/>
    <x v="1"/>
    <x v="1"/>
    <n v="20000"/>
    <n v="2"/>
    <x v="3"/>
    <x v="1"/>
    <s v="Yes"/>
    <n v="2"/>
    <x v="2"/>
    <s v="Pacific"/>
    <n v="55"/>
    <x v="0"/>
    <x v="1"/>
  </r>
  <r>
    <n v="25598"/>
    <x v="0"/>
    <x v="0"/>
    <n v="40000"/>
    <n v="0"/>
    <x v="4"/>
    <x v="1"/>
    <s v="Yes"/>
    <n v="0"/>
    <x v="0"/>
    <s v="Europe"/>
    <n v="36"/>
    <x v="0"/>
    <x v="1"/>
  </r>
  <r>
    <n v="21564"/>
    <x v="1"/>
    <x v="0"/>
    <n v="80000"/>
    <n v="0"/>
    <x v="0"/>
    <x v="2"/>
    <s v="Yes"/>
    <n v="4"/>
    <x v="4"/>
    <s v="Pacific"/>
    <n v="35"/>
    <x v="1"/>
    <x v="0"/>
  </r>
  <r>
    <n v="19193"/>
    <x v="1"/>
    <x v="1"/>
    <n v="40000"/>
    <n v="2"/>
    <x v="1"/>
    <x v="1"/>
    <s v="Yes"/>
    <n v="0"/>
    <x v="3"/>
    <s v="Europe"/>
    <n v="35"/>
    <x v="0"/>
    <x v="1"/>
  </r>
  <r>
    <n v="26412"/>
    <x v="0"/>
    <x v="0"/>
    <n v="80000"/>
    <n v="5"/>
    <x v="2"/>
    <x v="4"/>
    <s v="No"/>
    <n v="3"/>
    <x v="2"/>
    <s v="Europe"/>
    <n v="56"/>
    <x v="0"/>
    <x v="0"/>
  </r>
  <r>
    <n v="27184"/>
    <x v="1"/>
    <x v="1"/>
    <n v="40000"/>
    <n v="2"/>
    <x v="1"/>
    <x v="1"/>
    <s v="No"/>
    <n v="1"/>
    <x v="0"/>
    <s v="Europe"/>
    <n v="34"/>
    <x v="2"/>
    <x v="0"/>
  </r>
  <r>
    <n v="12590"/>
    <x v="1"/>
    <x v="1"/>
    <n v="30000"/>
    <n v="1"/>
    <x v="0"/>
    <x v="1"/>
    <s v="Yes"/>
    <n v="0"/>
    <x v="0"/>
    <s v="Europe"/>
    <n v="63"/>
    <x v="2"/>
    <x v="0"/>
  </r>
  <r>
    <n v="17841"/>
    <x v="1"/>
    <x v="1"/>
    <n v="30000"/>
    <n v="0"/>
    <x v="1"/>
    <x v="1"/>
    <s v="No"/>
    <n v="1"/>
    <x v="0"/>
    <s v="Europe"/>
    <n v="29"/>
    <x v="0"/>
    <x v="1"/>
  </r>
  <r>
    <n v="18283"/>
    <x v="1"/>
    <x v="0"/>
    <n v="100000"/>
    <n v="0"/>
    <x v="0"/>
    <x v="2"/>
    <s v="No"/>
    <n v="1"/>
    <x v="2"/>
    <s v="Pacific"/>
    <n v="40"/>
    <x v="0"/>
    <x v="0"/>
  </r>
  <r>
    <n v="18299"/>
    <x v="0"/>
    <x v="1"/>
    <n v="70000"/>
    <n v="5"/>
    <x v="1"/>
    <x v="0"/>
    <s v="Yes"/>
    <n v="2"/>
    <x v="2"/>
    <s v="Pacific"/>
    <n v="44"/>
    <x v="1"/>
    <x v="0"/>
  </r>
  <r>
    <n v="16466"/>
    <x v="1"/>
    <x v="0"/>
    <n v="20000"/>
    <n v="0"/>
    <x v="3"/>
    <x v="3"/>
    <s v="No"/>
    <n v="2"/>
    <x v="0"/>
    <s v="Europe"/>
    <n v="32"/>
    <x v="0"/>
    <x v="1"/>
  </r>
  <r>
    <n v="19273"/>
    <x v="0"/>
    <x v="0"/>
    <n v="20000"/>
    <n v="2"/>
    <x v="1"/>
    <x v="3"/>
    <s v="Yes"/>
    <n v="0"/>
    <x v="0"/>
    <s v="Europe"/>
    <n v="63"/>
    <x v="0"/>
    <x v="0"/>
  </r>
  <r>
    <n v="22400"/>
    <x v="0"/>
    <x v="1"/>
    <n v="10000"/>
    <n v="0"/>
    <x v="1"/>
    <x v="3"/>
    <s v="No"/>
    <n v="1"/>
    <x v="0"/>
    <s v="Pacific"/>
    <n v="26"/>
    <x v="0"/>
    <x v="1"/>
  </r>
  <r>
    <n v="20942"/>
    <x v="1"/>
    <x v="0"/>
    <n v="20000"/>
    <n v="0"/>
    <x v="2"/>
    <x v="3"/>
    <s v="No"/>
    <n v="1"/>
    <x v="2"/>
    <s v="Europe"/>
    <n v="31"/>
    <x v="1"/>
    <x v="0"/>
  </r>
  <r>
    <n v="18484"/>
    <x v="1"/>
    <x v="1"/>
    <n v="80000"/>
    <n v="2"/>
    <x v="2"/>
    <x v="0"/>
    <s v="No"/>
    <n v="2"/>
    <x v="3"/>
    <s v="Pacific"/>
    <n v="50"/>
    <x v="0"/>
    <x v="1"/>
  </r>
  <r>
    <n v="12291"/>
    <x v="1"/>
    <x v="1"/>
    <n v="90000"/>
    <n v="5"/>
    <x v="1"/>
    <x v="2"/>
    <s v="No"/>
    <n v="2"/>
    <x v="1"/>
    <s v="Europe"/>
    <n v="62"/>
    <x v="0"/>
    <x v="1"/>
  </r>
  <r>
    <n v="28380"/>
    <x v="1"/>
    <x v="0"/>
    <n v="10000"/>
    <n v="5"/>
    <x v="3"/>
    <x v="3"/>
    <s v="No"/>
    <n v="2"/>
    <x v="0"/>
    <s v="Europe"/>
    <n v="41"/>
    <x v="0"/>
    <x v="0"/>
  </r>
  <r>
    <n v="17891"/>
    <x v="0"/>
    <x v="0"/>
    <n v="10000"/>
    <n v="2"/>
    <x v="1"/>
    <x v="3"/>
    <s v="Yes"/>
    <n v="1"/>
    <x v="0"/>
    <s v="Europe"/>
    <n v="50"/>
    <x v="0"/>
    <x v="1"/>
  </r>
  <r>
    <n v="27832"/>
    <x v="1"/>
    <x v="0"/>
    <n v="30000"/>
    <n v="0"/>
    <x v="1"/>
    <x v="1"/>
    <s v="No"/>
    <n v="1"/>
    <x v="1"/>
    <s v="Europe"/>
    <n v="30"/>
    <x v="2"/>
    <x v="0"/>
  </r>
  <r>
    <n v="26863"/>
    <x v="1"/>
    <x v="1"/>
    <n v="20000"/>
    <n v="0"/>
    <x v="2"/>
    <x v="3"/>
    <s v="No"/>
    <n v="1"/>
    <x v="1"/>
    <s v="Europe"/>
    <n v="28"/>
    <x v="0"/>
    <x v="0"/>
  </r>
  <r>
    <n v="16259"/>
    <x v="1"/>
    <x v="0"/>
    <n v="10000"/>
    <n v="4"/>
    <x v="3"/>
    <x v="3"/>
    <s v="Yes"/>
    <n v="2"/>
    <x v="0"/>
    <s v="Europe"/>
    <n v="40"/>
    <x v="1"/>
    <x v="1"/>
  </r>
  <r>
    <n v="27803"/>
    <x v="1"/>
    <x v="0"/>
    <n v="30000"/>
    <n v="2"/>
    <x v="1"/>
    <x v="1"/>
    <s v="No"/>
    <n v="0"/>
    <x v="0"/>
    <s v="Europe"/>
    <n v="43"/>
    <x v="1"/>
    <x v="0"/>
  </r>
  <r>
    <n v="14347"/>
    <x v="1"/>
    <x v="0"/>
    <n v="40000"/>
    <n v="2"/>
    <x v="0"/>
    <x v="4"/>
    <s v="Yes"/>
    <n v="2"/>
    <x v="2"/>
    <s v="Pacific"/>
    <n v="65"/>
    <x v="0"/>
    <x v="1"/>
  </r>
  <r>
    <n v="17703"/>
    <x v="0"/>
    <x v="0"/>
    <n v="10000"/>
    <n v="1"/>
    <x v="4"/>
    <x v="3"/>
    <s v="Yes"/>
    <n v="0"/>
    <x v="0"/>
    <s v="Europe"/>
    <n v="40"/>
    <x v="0"/>
    <x v="0"/>
  </r>
  <r>
    <n v="17185"/>
    <x v="0"/>
    <x v="0"/>
    <n v="170000"/>
    <n v="4"/>
    <x v="1"/>
    <x v="2"/>
    <s v="No"/>
    <n v="3"/>
    <x v="2"/>
    <s v="Europe"/>
    <n v="48"/>
    <x v="0"/>
    <x v="1"/>
  </r>
  <r>
    <n v="29380"/>
    <x v="0"/>
    <x v="0"/>
    <n v="20000"/>
    <n v="3"/>
    <x v="2"/>
    <x v="3"/>
    <s v="Yes"/>
    <n v="0"/>
    <x v="0"/>
    <s v="Europe"/>
    <n v="41"/>
    <x v="1"/>
    <x v="1"/>
  </r>
  <r>
    <n v="23986"/>
    <x v="0"/>
    <x v="0"/>
    <n v="20000"/>
    <n v="1"/>
    <x v="0"/>
    <x v="1"/>
    <s v="Yes"/>
    <n v="0"/>
    <x v="0"/>
    <s v="Europe"/>
    <n v="66"/>
    <x v="0"/>
    <x v="1"/>
  </r>
  <r>
    <n v="24466"/>
    <x v="0"/>
    <x v="0"/>
    <n v="60000"/>
    <n v="1"/>
    <x v="1"/>
    <x v="0"/>
    <s v="Yes"/>
    <n v="1"/>
    <x v="2"/>
    <s v="Pacific"/>
    <n v="46"/>
    <x v="0"/>
    <x v="1"/>
  </r>
  <r>
    <n v="29097"/>
    <x v="1"/>
    <x v="0"/>
    <n v="40000"/>
    <n v="2"/>
    <x v="1"/>
    <x v="0"/>
    <s v="Yes"/>
    <n v="2"/>
    <x v="2"/>
    <s v="Pacific"/>
    <n v="52"/>
    <x v="0"/>
    <x v="1"/>
  </r>
  <r>
    <n v="19487"/>
    <x v="0"/>
    <x v="1"/>
    <n v="30000"/>
    <n v="2"/>
    <x v="1"/>
    <x v="1"/>
    <s v="No"/>
    <n v="2"/>
    <x v="0"/>
    <s v="Europe"/>
    <n v="42"/>
    <x v="0"/>
    <x v="0"/>
  </r>
  <r>
    <n v="14939"/>
    <x v="1"/>
    <x v="1"/>
    <n v="40000"/>
    <n v="0"/>
    <x v="0"/>
    <x v="1"/>
    <s v="Yes"/>
    <n v="0"/>
    <x v="0"/>
    <s v="Europe"/>
    <n v="39"/>
    <x v="0"/>
    <x v="1"/>
  </r>
  <r>
    <n v="13826"/>
    <x v="1"/>
    <x v="0"/>
    <n v="30000"/>
    <n v="0"/>
    <x v="1"/>
    <x v="1"/>
    <s v="No"/>
    <n v="1"/>
    <x v="0"/>
    <s v="Europe"/>
    <n v="28"/>
    <x v="0"/>
    <x v="0"/>
  </r>
  <r>
    <n v="20619"/>
    <x v="1"/>
    <x v="1"/>
    <n v="80000"/>
    <n v="0"/>
    <x v="0"/>
    <x v="2"/>
    <s v="No"/>
    <n v="4"/>
    <x v="4"/>
    <s v="Pacific"/>
    <n v="35"/>
    <x v="0"/>
    <x v="0"/>
  </r>
  <r>
    <n v="12558"/>
    <x v="0"/>
    <x v="0"/>
    <n v="20000"/>
    <n v="1"/>
    <x v="0"/>
    <x v="1"/>
    <s v="Yes"/>
    <n v="0"/>
    <x v="0"/>
    <s v="Europe"/>
    <n v="65"/>
    <x v="1"/>
    <x v="0"/>
  </r>
  <r>
    <n v="24871"/>
    <x v="1"/>
    <x v="0"/>
    <n v="90000"/>
    <n v="4"/>
    <x v="2"/>
    <x v="4"/>
    <s v="No"/>
    <n v="3"/>
    <x v="2"/>
    <s v="Europe"/>
    <n v="56"/>
    <x v="0"/>
    <x v="0"/>
  </r>
  <r>
    <n v="17319"/>
    <x v="1"/>
    <x v="0"/>
    <n v="70000"/>
    <n v="0"/>
    <x v="0"/>
    <x v="2"/>
    <s v="No"/>
    <n v="1"/>
    <x v="2"/>
    <s v="Pacific"/>
    <n v="42"/>
    <x v="0"/>
    <x v="0"/>
  </r>
  <r>
    <n v="28906"/>
    <x v="0"/>
    <x v="1"/>
    <n v="80000"/>
    <n v="4"/>
    <x v="2"/>
    <x v="2"/>
    <s v="Yes"/>
    <n v="2"/>
    <x v="4"/>
    <s v="Europe"/>
    <n v="54"/>
    <x v="0"/>
    <x v="0"/>
  </r>
  <r>
    <n v="12808"/>
    <x v="0"/>
    <x v="1"/>
    <n v="40000"/>
    <n v="0"/>
    <x v="0"/>
    <x v="1"/>
    <s v="Yes"/>
    <n v="0"/>
    <x v="0"/>
    <s v="Europe"/>
    <n v="38"/>
    <x v="2"/>
    <x v="1"/>
  </r>
  <r>
    <n v="20567"/>
    <x v="0"/>
    <x v="1"/>
    <n v="130000"/>
    <n v="4"/>
    <x v="1"/>
    <x v="2"/>
    <s v="No"/>
    <n v="4"/>
    <x v="2"/>
    <s v="Europe"/>
    <n v="61"/>
    <x v="0"/>
    <x v="1"/>
  </r>
  <r>
    <n v="25502"/>
    <x v="0"/>
    <x v="0"/>
    <n v="40000"/>
    <n v="1"/>
    <x v="0"/>
    <x v="0"/>
    <s v="Yes"/>
    <n v="0"/>
    <x v="0"/>
    <s v="Europe"/>
    <n v="43"/>
    <x v="0"/>
    <x v="1"/>
  </r>
  <r>
    <n v="15580"/>
    <x v="0"/>
    <x v="1"/>
    <n v="60000"/>
    <n v="2"/>
    <x v="0"/>
    <x v="2"/>
    <s v="Yes"/>
    <n v="1"/>
    <x v="1"/>
    <s v="Pacific"/>
    <n v="38"/>
    <x v="0"/>
    <x v="1"/>
  </r>
  <r>
    <n v="24185"/>
    <x v="1"/>
    <x v="0"/>
    <n v="10000"/>
    <n v="1"/>
    <x v="2"/>
    <x v="3"/>
    <s v="No"/>
    <n v="1"/>
    <x v="3"/>
    <s v="Europe"/>
    <n v="45"/>
    <x v="0"/>
    <x v="0"/>
  </r>
  <r>
    <n v="19291"/>
    <x v="1"/>
    <x v="0"/>
    <n v="10000"/>
    <n v="2"/>
    <x v="2"/>
    <x v="3"/>
    <s v="Yes"/>
    <n v="0"/>
    <x v="0"/>
    <s v="Europe"/>
    <n v="35"/>
    <x v="1"/>
    <x v="0"/>
  </r>
  <r>
    <n v="16713"/>
    <x v="0"/>
    <x v="1"/>
    <n v="40000"/>
    <n v="2"/>
    <x v="0"/>
    <x v="4"/>
    <s v="Yes"/>
    <n v="1"/>
    <x v="0"/>
    <s v="Pacific"/>
    <n v="52"/>
    <x v="0"/>
    <x v="1"/>
  </r>
  <r>
    <n v="16185"/>
    <x v="1"/>
    <x v="1"/>
    <n v="60000"/>
    <n v="4"/>
    <x v="0"/>
    <x v="2"/>
    <s v="Yes"/>
    <n v="3"/>
    <x v="4"/>
    <s v="Pacific"/>
    <n v="41"/>
    <x v="2"/>
    <x v="0"/>
  </r>
  <r>
    <n v="14927"/>
    <x v="0"/>
    <x v="0"/>
    <n v="30000"/>
    <n v="1"/>
    <x v="0"/>
    <x v="1"/>
    <s v="Yes"/>
    <n v="0"/>
    <x v="0"/>
    <s v="Europe"/>
    <n v="37"/>
    <x v="2"/>
    <x v="1"/>
  </r>
  <r>
    <n v="29337"/>
    <x v="1"/>
    <x v="1"/>
    <n v="30000"/>
    <n v="2"/>
    <x v="1"/>
    <x v="1"/>
    <s v="Yes"/>
    <n v="2"/>
    <x v="2"/>
    <s v="Pacific"/>
    <n v="68"/>
    <x v="0"/>
    <x v="0"/>
  </r>
  <r>
    <n v="29355"/>
    <x v="0"/>
    <x v="0"/>
    <n v="40000"/>
    <n v="0"/>
    <x v="4"/>
    <x v="1"/>
    <s v="Yes"/>
    <n v="0"/>
    <x v="0"/>
    <s v="Europe"/>
    <n v="37"/>
    <x v="1"/>
    <x v="1"/>
  </r>
  <r>
    <n v="25303"/>
    <x v="1"/>
    <x v="1"/>
    <n v="30000"/>
    <n v="0"/>
    <x v="2"/>
    <x v="3"/>
    <s v="Yes"/>
    <n v="1"/>
    <x v="1"/>
    <s v="Europe"/>
    <n v="33"/>
    <x v="0"/>
    <x v="1"/>
  </r>
  <r>
    <n v="14813"/>
    <x v="1"/>
    <x v="0"/>
    <n v="20000"/>
    <n v="4"/>
    <x v="2"/>
    <x v="3"/>
    <s v="Yes"/>
    <n v="1"/>
    <x v="0"/>
    <s v="Europe"/>
    <n v="43"/>
    <x v="0"/>
    <x v="1"/>
  </r>
  <r>
    <n v="16438"/>
    <x v="0"/>
    <x v="0"/>
    <n v="10000"/>
    <n v="0"/>
    <x v="3"/>
    <x v="3"/>
    <s v="No"/>
    <n v="2"/>
    <x v="0"/>
    <s v="Europe"/>
    <n v="30"/>
    <x v="0"/>
    <x v="0"/>
  </r>
  <r>
    <n v="14238"/>
    <x v="0"/>
    <x v="1"/>
    <n v="120000"/>
    <n v="0"/>
    <x v="3"/>
    <x v="2"/>
    <s v="Yes"/>
    <n v="4"/>
    <x v="4"/>
    <s v="Pacific"/>
    <n v="36"/>
    <x v="2"/>
    <x v="1"/>
  </r>
  <r>
    <n v="16200"/>
    <x v="1"/>
    <x v="0"/>
    <n v="10000"/>
    <n v="0"/>
    <x v="3"/>
    <x v="3"/>
    <s v="No"/>
    <n v="2"/>
    <x v="0"/>
    <s v="Europe"/>
    <n v="35"/>
    <x v="0"/>
    <x v="0"/>
  </r>
  <r>
    <n v="24857"/>
    <x v="0"/>
    <x v="0"/>
    <n v="130000"/>
    <n v="3"/>
    <x v="2"/>
    <x v="2"/>
    <s v="Yes"/>
    <n v="4"/>
    <x v="0"/>
    <s v="Europe"/>
    <n v="52"/>
    <x v="2"/>
    <x v="0"/>
  </r>
  <r>
    <n v="26956"/>
    <x v="1"/>
    <x v="0"/>
    <n v="20000"/>
    <n v="0"/>
    <x v="1"/>
    <x v="3"/>
    <s v="No"/>
    <n v="1"/>
    <x v="1"/>
    <s v="Europe"/>
    <n v="36"/>
    <x v="0"/>
    <x v="1"/>
  </r>
  <r>
    <n v="14517"/>
    <x v="0"/>
    <x v="0"/>
    <n v="20000"/>
    <n v="3"/>
    <x v="2"/>
    <x v="0"/>
    <s v="No"/>
    <n v="2"/>
    <x v="3"/>
    <s v="Pacific"/>
    <n v="62"/>
    <x v="0"/>
    <x v="0"/>
  </r>
  <r>
    <n v="12678"/>
    <x v="1"/>
    <x v="0"/>
    <n v="130000"/>
    <n v="4"/>
    <x v="2"/>
    <x v="4"/>
    <s v="Yes"/>
    <n v="4"/>
    <x v="0"/>
    <s v="Pacific"/>
    <n v="31"/>
    <x v="2"/>
    <x v="0"/>
  </r>
  <r>
    <n v="16188"/>
    <x v="1"/>
    <x v="0"/>
    <n v="20000"/>
    <n v="0"/>
    <x v="3"/>
    <x v="3"/>
    <s v="No"/>
    <n v="2"/>
    <x v="3"/>
    <s v="Europe"/>
    <n v="26"/>
    <x v="0"/>
    <x v="0"/>
  </r>
  <r>
    <n v="27969"/>
    <x v="0"/>
    <x v="1"/>
    <n v="80000"/>
    <n v="0"/>
    <x v="0"/>
    <x v="2"/>
    <s v="Yes"/>
    <n v="2"/>
    <x v="4"/>
    <s v="Pacific"/>
    <n v="29"/>
    <x v="2"/>
    <x v="1"/>
  </r>
  <r>
    <n v="15752"/>
    <x v="0"/>
    <x v="1"/>
    <n v="80000"/>
    <n v="2"/>
    <x v="2"/>
    <x v="0"/>
    <s v="No"/>
    <n v="2"/>
    <x v="3"/>
    <s v="Pacific"/>
    <n v="50"/>
    <x v="2"/>
    <x v="1"/>
  </r>
  <r>
    <n v="27745"/>
    <x v="1"/>
    <x v="1"/>
    <n v="40000"/>
    <n v="2"/>
    <x v="0"/>
    <x v="4"/>
    <s v="Yes"/>
    <n v="2"/>
    <x v="2"/>
    <s v="Pacific"/>
    <n v="63"/>
    <x v="0"/>
    <x v="1"/>
  </r>
  <r>
    <n v="20828"/>
    <x v="0"/>
    <x v="0"/>
    <n v="30000"/>
    <n v="4"/>
    <x v="4"/>
    <x v="1"/>
    <s v="Yes"/>
    <n v="0"/>
    <x v="0"/>
    <s v="Europe"/>
    <n v="45"/>
    <x v="0"/>
    <x v="1"/>
  </r>
  <r>
    <n v="19461"/>
    <x v="1"/>
    <x v="0"/>
    <n v="10000"/>
    <n v="4"/>
    <x v="3"/>
    <x v="3"/>
    <s v="Yes"/>
    <n v="2"/>
    <x v="0"/>
    <s v="Europe"/>
    <n v="40"/>
    <x v="1"/>
    <x v="0"/>
  </r>
  <r>
    <n v="26941"/>
    <x v="0"/>
    <x v="1"/>
    <n v="30000"/>
    <n v="0"/>
    <x v="0"/>
    <x v="1"/>
    <s v="Yes"/>
    <n v="0"/>
    <x v="0"/>
    <s v="Europe"/>
    <n v="47"/>
    <x v="1"/>
    <x v="1"/>
  </r>
  <r>
    <n v="28412"/>
    <x v="1"/>
    <x v="1"/>
    <n v="20000"/>
    <n v="0"/>
    <x v="2"/>
    <x v="3"/>
    <s v="No"/>
    <n v="1"/>
    <x v="1"/>
    <s v="Europe"/>
    <n v="29"/>
    <x v="0"/>
    <x v="0"/>
  </r>
  <r>
    <n v="24485"/>
    <x v="1"/>
    <x v="1"/>
    <n v="40000"/>
    <n v="2"/>
    <x v="0"/>
    <x v="4"/>
    <s v="No"/>
    <n v="1"/>
    <x v="2"/>
    <s v="Pacific"/>
    <n v="52"/>
    <x v="0"/>
    <x v="1"/>
  </r>
  <r>
    <n v="16514"/>
    <x v="1"/>
    <x v="1"/>
    <n v="10000"/>
    <n v="0"/>
    <x v="1"/>
    <x v="3"/>
    <s v="Yes"/>
    <n v="1"/>
    <x v="3"/>
    <s v="Pacific"/>
    <n v="26"/>
    <x v="2"/>
    <x v="1"/>
  </r>
  <r>
    <n v="17191"/>
    <x v="1"/>
    <x v="1"/>
    <n v="130000"/>
    <n v="3"/>
    <x v="1"/>
    <x v="2"/>
    <s v="No"/>
    <n v="3"/>
    <x v="0"/>
    <s v="Europe"/>
    <n v="51"/>
    <x v="0"/>
    <x v="1"/>
  </r>
  <r>
    <n v="19608"/>
    <x v="0"/>
    <x v="1"/>
    <n v="80000"/>
    <n v="5"/>
    <x v="0"/>
    <x v="2"/>
    <s v="Yes"/>
    <n v="4"/>
    <x v="3"/>
    <s v="Pacific"/>
    <n v="40"/>
    <x v="0"/>
    <x v="0"/>
  </r>
  <r>
    <n v="24119"/>
    <x v="1"/>
    <x v="1"/>
    <n v="30000"/>
    <n v="0"/>
    <x v="1"/>
    <x v="1"/>
    <s v="No"/>
    <n v="1"/>
    <x v="1"/>
    <s v="Europe"/>
    <n v="29"/>
    <x v="0"/>
    <x v="0"/>
  </r>
  <r>
    <n v="25458"/>
    <x v="0"/>
    <x v="1"/>
    <n v="20000"/>
    <n v="1"/>
    <x v="2"/>
    <x v="3"/>
    <s v="No"/>
    <n v="1"/>
    <x v="3"/>
    <s v="Europe"/>
    <n v="40"/>
    <x v="0"/>
    <x v="1"/>
  </r>
  <r>
    <n v="26886"/>
    <x v="1"/>
    <x v="0"/>
    <n v="30000"/>
    <n v="0"/>
    <x v="1"/>
    <x v="1"/>
    <s v="No"/>
    <n v="1"/>
    <x v="0"/>
    <s v="Europe"/>
    <n v="29"/>
    <x v="0"/>
    <x v="1"/>
  </r>
  <r>
    <n v="28436"/>
    <x v="1"/>
    <x v="1"/>
    <n v="30000"/>
    <n v="0"/>
    <x v="1"/>
    <x v="1"/>
    <s v="No"/>
    <n v="1"/>
    <x v="0"/>
    <s v="Europe"/>
    <n v="30"/>
    <x v="0"/>
    <x v="1"/>
  </r>
  <r>
    <n v="19562"/>
    <x v="1"/>
    <x v="0"/>
    <n v="60000"/>
    <n v="2"/>
    <x v="0"/>
    <x v="2"/>
    <s v="Yes"/>
    <n v="1"/>
    <x v="1"/>
    <s v="Pacific"/>
    <n v="37"/>
    <x v="2"/>
    <x v="1"/>
  </r>
  <r>
    <n v="15608"/>
    <x v="1"/>
    <x v="0"/>
    <n v="30000"/>
    <n v="0"/>
    <x v="1"/>
    <x v="1"/>
    <s v="No"/>
    <n v="1"/>
    <x v="1"/>
    <s v="Europe"/>
    <n v="33"/>
    <x v="0"/>
    <x v="0"/>
  </r>
  <r>
    <n v="16487"/>
    <x v="1"/>
    <x v="0"/>
    <n v="30000"/>
    <n v="3"/>
    <x v="2"/>
    <x v="0"/>
    <s v="Yes"/>
    <n v="2"/>
    <x v="2"/>
    <s v="Pacific"/>
    <n v="55"/>
    <x v="0"/>
    <x v="0"/>
  </r>
  <r>
    <n v="17197"/>
    <x v="1"/>
    <x v="0"/>
    <n v="90000"/>
    <n v="5"/>
    <x v="1"/>
    <x v="2"/>
    <s v="Yes"/>
    <n v="2"/>
    <x v="4"/>
    <s v="Europe"/>
    <n v="62"/>
    <x v="0"/>
    <x v="0"/>
  </r>
  <r>
    <n v="12507"/>
    <x v="0"/>
    <x v="1"/>
    <n v="30000"/>
    <n v="1"/>
    <x v="1"/>
    <x v="1"/>
    <s v="Yes"/>
    <n v="1"/>
    <x v="0"/>
    <s v="Europe"/>
    <n v="43"/>
    <x v="0"/>
    <x v="0"/>
  </r>
  <r>
    <n v="23940"/>
    <x v="0"/>
    <x v="1"/>
    <n v="40000"/>
    <n v="1"/>
    <x v="0"/>
    <x v="0"/>
    <s v="Yes"/>
    <n v="1"/>
    <x v="0"/>
    <s v="Europe"/>
    <n v="44"/>
    <x v="0"/>
    <x v="1"/>
  </r>
  <r>
    <n v="19441"/>
    <x v="0"/>
    <x v="1"/>
    <n v="40000"/>
    <n v="0"/>
    <x v="4"/>
    <x v="1"/>
    <s v="Yes"/>
    <n v="0"/>
    <x v="0"/>
    <s v="Europe"/>
    <n v="25"/>
    <x v="0"/>
    <x v="1"/>
  </r>
  <r>
    <n v="26852"/>
    <x v="0"/>
    <x v="0"/>
    <n v="20000"/>
    <n v="3"/>
    <x v="2"/>
    <x v="3"/>
    <s v="Yes"/>
    <n v="2"/>
    <x v="0"/>
    <s v="Europe"/>
    <n v="43"/>
    <x v="0"/>
    <x v="0"/>
  </r>
  <r>
    <n v="12274"/>
    <x v="1"/>
    <x v="1"/>
    <n v="10000"/>
    <n v="2"/>
    <x v="2"/>
    <x v="3"/>
    <s v="Yes"/>
    <n v="0"/>
    <x v="0"/>
    <s v="Europe"/>
    <n v="35"/>
    <x v="0"/>
    <x v="0"/>
  </r>
  <r>
    <n v="20236"/>
    <x v="1"/>
    <x v="1"/>
    <n v="60000"/>
    <n v="3"/>
    <x v="0"/>
    <x v="2"/>
    <s v="No"/>
    <n v="2"/>
    <x v="0"/>
    <s v="Pacific"/>
    <n v="43"/>
    <x v="2"/>
    <x v="1"/>
  </r>
  <r>
    <n v="24149"/>
    <x v="0"/>
    <x v="1"/>
    <n v="10000"/>
    <n v="2"/>
    <x v="1"/>
    <x v="3"/>
    <s v="Yes"/>
    <n v="0"/>
    <x v="3"/>
    <s v="Europe"/>
    <n v="49"/>
    <x v="2"/>
    <x v="0"/>
  </r>
  <r>
    <n v="26139"/>
    <x v="1"/>
    <x v="1"/>
    <n v="60000"/>
    <n v="1"/>
    <x v="1"/>
    <x v="0"/>
    <s v="Yes"/>
    <n v="1"/>
    <x v="2"/>
    <s v="Pacific"/>
    <n v="45"/>
    <x v="0"/>
    <x v="0"/>
  </r>
  <r>
    <n v="18491"/>
    <x v="1"/>
    <x v="0"/>
    <n v="70000"/>
    <n v="2"/>
    <x v="2"/>
    <x v="2"/>
    <s v="Yes"/>
    <n v="2"/>
    <x v="2"/>
    <s v="Pacific"/>
    <n v="49"/>
    <x v="0"/>
    <x v="1"/>
  </r>
  <r>
    <n v="22707"/>
    <x v="1"/>
    <x v="0"/>
    <n v="30000"/>
    <n v="0"/>
    <x v="1"/>
    <x v="1"/>
    <s v="No"/>
    <n v="1"/>
    <x v="1"/>
    <s v="Europe"/>
    <n v="30"/>
    <x v="1"/>
    <x v="0"/>
  </r>
  <r>
    <n v="20430"/>
    <x v="0"/>
    <x v="1"/>
    <n v="70000"/>
    <n v="2"/>
    <x v="1"/>
    <x v="0"/>
    <s v="Yes"/>
    <n v="2"/>
    <x v="2"/>
    <s v="Pacific"/>
    <n v="52"/>
    <x v="2"/>
    <x v="1"/>
  </r>
  <r>
    <n v="27494"/>
    <x v="1"/>
    <x v="0"/>
    <n v="40000"/>
    <n v="2"/>
    <x v="1"/>
    <x v="0"/>
    <s v="No"/>
    <n v="2"/>
    <x v="3"/>
    <s v="Pacific"/>
    <n v="53"/>
    <x v="1"/>
    <x v="1"/>
  </r>
  <r>
    <n v="26829"/>
    <x v="0"/>
    <x v="0"/>
    <n v="40000"/>
    <n v="0"/>
    <x v="0"/>
    <x v="1"/>
    <s v="Yes"/>
    <n v="0"/>
    <x v="0"/>
    <s v="Europe"/>
    <n v="38"/>
    <x v="0"/>
    <x v="1"/>
  </r>
  <r>
    <n v="28395"/>
    <x v="1"/>
    <x v="1"/>
    <n v="40000"/>
    <n v="0"/>
    <x v="0"/>
    <x v="2"/>
    <s v="No"/>
    <n v="0"/>
    <x v="0"/>
    <s v="Europe"/>
    <n v="39"/>
    <x v="0"/>
    <x v="1"/>
  </r>
  <r>
    <n v="21006"/>
    <x v="1"/>
    <x v="0"/>
    <n v="30000"/>
    <n v="1"/>
    <x v="1"/>
    <x v="3"/>
    <s v="No"/>
    <n v="0"/>
    <x v="0"/>
    <s v="Europe"/>
    <n v="46"/>
    <x v="1"/>
    <x v="1"/>
  </r>
  <r>
    <n v="14682"/>
    <x v="1"/>
    <x v="0"/>
    <n v="70000"/>
    <n v="0"/>
    <x v="0"/>
    <x v="2"/>
    <s v="No"/>
    <n v="1"/>
    <x v="2"/>
    <s v="Pacific"/>
    <n v="38"/>
    <x v="0"/>
    <x v="0"/>
  </r>
  <r>
    <n v="17650"/>
    <x v="1"/>
    <x v="0"/>
    <n v="40000"/>
    <n v="2"/>
    <x v="1"/>
    <x v="1"/>
    <s v="Yes"/>
    <n v="2"/>
    <x v="3"/>
    <s v="Europe"/>
    <n v="35"/>
    <x v="0"/>
    <x v="0"/>
  </r>
  <r>
    <n v="29191"/>
    <x v="1"/>
    <x v="0"/>
    <n v="130000"/>
    <n v="1"/>
    <x v="4"/>
    <x v="4"/>
    <s v="No"/>
    <n v="1"/>
    <x v="0"/>
    <s v="Pacific"/>
    <n v="36"/>
    <x v="0"/>
    <x v="1"/>
  </r>
  <r>
    <n v="15030"/>
    <x v="0"/>
    <x v="1"/>
    <n v="20000"/>
    <n v="0"/>
    <x v="0"/>
    <x v="1"/>
    <s v="Yes"/>
    <n v="0"/>
    <x v="0"/>
    <s v="Pacific"/>
    <n v="26"/>
    <x v="0"/>
    <x v="1"/>
  </r>
  <r>
    <n v="24140"/>
    <x v="1"/>
    <x v="1"/>
    <n v="10000"/>
    <n v="0"/>
    <x v="4"/>
    <x v="3"/>
    <s v="No"/>
    <n v="0"/>
    <x v="0"/>
    <s v="Europe"/>
    <n v="30"/>
    <x v="0"/>
    <x v="1"/>
  </r>
  <r>
    <n v="22496"/>
    <x v="0"/>
    <x v="0"/>
    <n v="30000"/>
    <n v="1"/>
    <x v="0"/>
    <x v="0"/>
    <s v="Yes"/>
    <n v="2"/>
    <x v="0"/>
    <s v="Europe"/>
    <n v="42"/>
    <x v="0"/>
    <x v="0"/>
  </r>
  <r>
    <n v="24065"/>
    <x v="1"/>
    <x v="0"/>
    <n v="20000"/>
    <n v="0"/>
    <x v="2"/>
    <x v="3"/>
    <s v="Yes"/>
    <n v="0"/>
    <x v="0"/>
    <s v="Europe"/>
    <n v="40"/>
    <x v="0"/>
    <x v="1"/>
  </r>
  <r>
    <n v="19914"/>
    <x v="0"/>
    <x v="1"/>
    <n v="80000"/>
    <n v="5"/>
    <x v="0"/>
    <x v="4"/>
    <s v="Yes"/>
    <n v="2"/>
    <x v="1"/>
    <s v="Europe"/>
    <n v="62"/>
    <x v="1"/>
    <x v="0"/>
  </r>
  <r>
    <n v="12871"/>
    <x v="1"/>
    <x v="0"/>
    <n v="30000"/>
    <n v="0"/>
    <x v="1"/>
    <x v="1"/>
    <s v="No"/>
    <n v="1"/>
    <x v="1"/>
    <s v="Europe"/>
    <n v="29"/>
    <x v="0"/>
    <x v="0"/>
  </r>
  <r>
    <n v="22988"/>
    <x v="0"/>
    <x v="0"/>
    <n v="40000"/>
    <n v="2"/>
    <x v="0"/>
    <x v="4"/>
    <s v="Yes"/>
    <n v="2"/>
    <x v="2"/>
    <s v="Pacific"/>
    <n v="66"/>
    <x v="1"/>
    <x v="1"/>
  </r>
  <r>
    <n v="15922"/>
    <x v="0"/>
    <x v="1"/>
    <n v="150000"/>
    <n v="2"/>
    <x v="2"/>
    <x v="2"/>
    <s v="Yes"/>
    <n v="4"/>
    <x v="0"/>
    <s v="Europe"/>
    <n v="48"/>
    <x v="0"/>
    <x v="0"/>
  </r>
  <r>
    <n v="12344"/>
    <x v="1"/>
    <x v="0"/>
    <n v="80000"/>
    <n v="0"/>
    <x v="0"/>
    <x v="2"/>
    <s v="No"/>
    <n v="3"/>
    <x v="4"/>
    <s v="Pacific"/>
    <n v="31"/>
    <x v="0"/>
    <x v="0"/>
  </r>
  <r>
    <n v="23627"/>
    <x v="1"/>
    <x v="0"/>
    <n v="100000"/>
    <n v="3"/>
    <x v="1"/>
    <x v="4"/>
    <s v="No"/>
    <n v="4"/>
    <x v="2"/>
    <s v="Europe"/>
    <n v="56"/>
    <x v="0"/>
    <x v="0"/>
  </r>
  <r>
    <n v="27775"/>
    <x v="1"/>
    <x v="0"/>
    <n v="40000"/>
    <n v="0"/>
    <x v="0"/>
    <x v="1"/>
    <s v="No"/>
    <n v="0"/>
    <x v="0"/>
    <s v="Europe"/>
    <n v="38"/>
    <x v="0"/>
    <x v="1"/>
  </r>
  <r>
    <n v="29301"/>
    <x v="0"/>
    <x v="1"/>
    <n v="80000"/>
    <n v="5"/>
    <x v="0"/>
    <x v="2"/>
    <s v="Yes"/>
    <n v="4"/>
    <x v="3"/>
    <s v="Pacific"/>
    <n v="40"/>
    <x v="1"/>
    <x v="0"/>
  </r>
  <r>
    <n v="12716"/>
    <x v="1"/>
    <x v="1"/>
    <n v="30000"/>
    <n v="0"/>
    <x v="1"/>
    <x v="1"/>
    <s v="Yes"/>
    <n v="1"/>
    <x v="1"/>
    <s v="Europe"/>
    <n v="32"/>
    <x v="1"/>
    <x v="0"/>
  </r>
  <r>
    <n v="12472"/>
    <x v="0"/>
    <x v="1"/>
    <n v="30000"/>
    <n v="1"/>
    <x v="0"/>
    <x v="1"/>
    <s v="Yes"/>
    <n v="1"/>
    <x v="1"/>
    <s v="Europe"/>
    <n v="39"/>
    <x v="0"/>
    <x v="0"/>
  </r>
  <r>
    <n v="20970"/>
    <x v="1"/>
    <x v="1"/>
    <n v="10000"/>
    <n v="2"/>
    <x v="1"/>
    <x v="3"/>
    <s v="Yes"/>
    <n v="1"/>
    <x v="0"/>
    <s v="Europe"/>
    <n v="52"/>
    <x v="2"/>
    <x v="1"/>
  </r>
  <r>
    <n v="26818"/>
    <x v="1"/>
    <x v="1"/>
    <n v="10000"/>
    <n v="3"/>
    <x v="2"/>
    <x v="3"/>
    <s v="Yes"/>
    <n v="1"/>
    <x v="0"/>
    <s v="Europe"/>
    <n v="39"/>
    <x v="0"/>
    <x v="1"/>
  </r>
  <r>
    <n v="12993"/>
    <x v="0"/>
    <x v="1"/>
    <n v="60000"/>
    <n v="2"/>
    <x v="0"/>
    <x v="2"/>
    <s v="Yes"/>
    <n v="1"/>
    <x v="1"/>
    <s v="Pacific"/>
    <n v="37"/>
    <x v="0"/>
    <x v="0"/>
  </r>
  <r>
    <n v="14192"/>
    <x v="0"/>
    <x v="1"/>
    <n v="90000"/>
    <n v="4"/>
    <x v="2"/>
    <x v="4"/>
    <s v="Yes"/>
    <n v="3"/>
    <x v="2"/>
    <s v="Europe"/>
    <n v="56"/>
    <x v="0"/>
    <x v="1"/>
  </r>
  <r>
    <n v="19477"/>
    <x v="0"/>
    <x v="1"/>
    <n v="40000"/>
    <n v="0"/>
    <x v="0"/>
    <x v="2"/>
    <s v="Yes"/>
    <n v="0"/>
    <x v="0"/>
    <s v="Europe"/>
    <n v="40"/>
    <x v="0"/>
    <x v="1"/>
  </r>
  <r>
    <n v="26796"/>
    <x v="1"/>
    <x v="1"/>
    <n v="40000"/>
    <n v="2"/>
    <x v="0"/>
    <x v="4"/>
    <s v="Yes"/>
    <n v="2"/>
    <x v="2"/>
    <s v="Pacific"/>
    <n v="65"/>
    <x v="0"/>
    <x v="1"/>
  </r>
  <r>
    <n v="21094"/>
    <x v="1"/>
    <x v="0"/>
    <n v="30000"/>
    <n v="2"/>
    <x v="1"/>
    <x v="1"/>
    <s v="Yes"/>
    <n v="2"/>
    <x v="0"/>
    <s v="Europe"/>
    <n v="42"/>
    <x v="0"/>
    <x v="0"/>
  </r>
  <r>
    <n v="12234"/>
    <x v="0"/>
    <x v="1"/>
    <n v="10000"/>
    <n v="2"/>
    <x v="1"/>
    <x v="3"/>
    <s v="Yes"/>
    <n v="1"/>
    <x v="1"/>
    <s v="Europe"/>
    <n v="52"/>
    <x v="1"/>
    <x v="0"/>
  </r>
  <r>
    <n v="28683"/>
    <x v="1"/>
    <x v="0"/>
    <n v="10000"/>
    <n v="1"/>
    <x v="2"/>
    <x v="3"/>
    <s v="No"/>
    <n v="1"/>
    <x v="2"/>
    <s v="Europe"/>
    <n v="35"/>
    <x v="2"/>
    <x v="1"/>
  </r>
  <r>
    <n v="17994"/>
    <x v="1"/>
    <x v="1"/>
    <n v="20000"/>
    <n v="2"/>
    <x v="2"/>
    <x v="3"/>
    <s v="Yes"/>
    <n v="2"/>
    <x v="0"/>
    <s v="Europe"/>
    <n v="42"/>
    <x v="0"/>
    <x v="0"/>
  </r>
  <r>
    <n v="24273"/>
    <x v="0"/>
    <x v="0"/>
    <n v="20000"/>
    <n v="2"/>
    <x v="3"/>
    <x v="1"/>
    <s v="Yes"/>
    <n v="2"/>
    <x v="2"/>
    <s v="Pacific"/>
    <n v="55"/>
    <x v="0"/>
    <x v="1"/>
  </r>
  <r>
    <n v="26547"/>
    <x v="1"/>
    <x v="0"/>
    <n v="30000"/>
    <n v="2"/>
    <x v="1"/>
    <x v="1"/>
    <s v="No"/>
    <n v="2"/>
    <x v="2"/>
    <s v="Pacific"/>
    <n v="60"/>
    <x v="0"/>
    <x v="1"/>
  </r>
  <r>
    <n v="22500"/>
    <x v="1"/>
    <x v="1"/>
    <n v="40000"/>
    <n v="0"/>
    <x v="0"/>
    <x v="2"/>
    <s v="No"/>
    <n v="0"/>
    <x v="0"/>
    <s v="Europe"/>
    <n v="40"/>
    <x v="0"/>
    <x v="1"/>
  </r>
  <r>
    <n v="23993"/>
    <x v="1"/>
    <x v="0"/>
    <n v="10000"/>
    <n v="0"/>
    <x v="1"/>
    <x v="3"/>
    <s v="No"/>
    <n v="1"/>
    <x v="0"/>
    <s v="Pacific"/>
    <n v="26"/>
    <x v="0"/>
    <x v="1"/>
  </r>
  <r>
    <n v="14832"/>
    <x v="0"/>
    <x v="1"/>
    <n v="40000"/>
    <n v="1"/>
    <x v="0"/>
    <x v="0"/>
    <s v="Yes"/>
    <n v="0"/>
    <x v="0"/>
    <s v="Europe"/>
    <n v="42"/>
    <x v="0"/>
    <x v="1"/>
  </r>
  <r>
    <n v="16614"/>
    <x v="0"/>
    <x v="0"/>
    <n v="80000"/>
    <n v="0"/>
    <x v="0"/>
    <x v="2"/>
    <s v="Yes"/>
    <n v="3"/>
    <x v="4"/>
    <s v="Pacific"/>
    <n v="32"/>
    <x v="1"/>
    <x v="0"/>
  </r>
  <r>
    <n v="20877"/>
    <x v="1"/>
    <x v="1"/>
    <n v="30000"/>
    <n v="1"/>
    <x v="0"/>
    <x v="1"/>
    <s v="Yes"/>
    <n v="0"/>
    <x v="3"/>
    <s v="Europe"/>
    <n v="37"/>
    <x v="0"/>
    <x v="1"/>
  </r>
  <r>
    <n v="20729"/>
    <x v="0"/>
    <x v="0"/>
    <n v="40000"/>
    <n v="2"/>
    <x v="1"/>
    <x v="1"/>
    <s v="No"/>
    <n v="1"/>
    <x v="0"/>
    <s v="Europe"/>
    <n v="34"/>
    <x v="0"/>
    <x v="0"/>
  </r>
  <r>
    <n v="22464"/>
    <x v="0"/>
    <x v="1"/>
    <n v="40000"/>
    <n v="0"/>
    <x v="4"/>
    <x v="1"/>
    <s v="Yes"/>
    <n v="0"/>
    <x v="0"/>
    <s v="Europe"/>
    <n v="37"/>
    <x v="0"/>
    <x v="1"/>
  </r>
  <r>
    <n v="19475"/>
    <x v="0"/>
    <x v="0"/>
    <n v="40000"/>
    <n v="0"/>
    <x v="0"/>
    <x v="2"/>
    <s v="No"/>
    <n v="0"/>
    <x v="0"/>
    <s v="Europe"/>
    <n v="40"/>
    <x v="0"/>
    <x v="1"/>
  </r>
  <r>
    <n v="19675"/>
    <x v="0"/>
    <x v="1"/>
    <n v="20000"/>
    <n v="4"/>
    <x v="2"/>
    <x v="0"/>
    <s v="Yes"/>
    <n v="2"/>
    <x v="2"/>
    <s v="Pacific"/>
    <n v="60"/>
    <x v="0"/>
    <x v="0"/>
  </r>
  <r>
    <n v="12728"/>
    <x v="1"/>
    <x v="1"/>
    <n v="30000"/>
    <n v="0"/>
    <x v="1"/>
    <x v="1"/>
    <s v="No"/>
    <n v="1"/>
    <x v="3"/>
    <s v="Europe"/>
    <n v="27"/>
    <x v="0"/>
    <x v="0"/>
  </r>
  <r>
    <n v="26154"/>
    <x v="0"/>
    <x v="1"/>
    <n v="60000"/>
    <n v="1"/>
    <x v="1"/>
    <x v="0"/>
    <s v="Yes"/>
    <n v="1"/>
    <x v="2"/>
    <s v="Pacific"/>
    <n v="43"/>
    <x v="0"/>
    <x v="1"/>
  </r>
  <r>
    <n v="29117"/>
    <x v="1"/>
    <x v="1"/>
    <n v="100000"/>
    <n v="1"/>
    <x v="0"/>
    <x v="4"/>
    <s v="No"/>
    <n v="3"/>
    <x v="0"/>
    <s v="Pacific"/>
    <n v="48"/>
    <x v="2"/>
    <x v="0"/>
  </r>
  <r>
    <n v="17845"/>
    <x v="1"/>
    <x v="0"/>
    <n v="20000"/>
    <n v="0"/>
    <x v="3"/>
    <x v="3"/>
    <s v="No"/>
    <n v="2"/>
    <x v="3"/>
    <s v="Europe"/>
    <n v="32"/>
    <x v="2"/>
    <x v="0"/>
  </r>
  <r>
    <n v="25058"/>
    <x v="0"/>
    <x v="1"/>
    <n v="100000"/>
    <n v="1"/>
    <x v="0"/>
    <x v="4"/>
    <s v="Yes"/>
    <n v="3"/>
    <x v="1"/>
    <s v="Pacific"/>
    <n v="47"/>
    <x v="0"/>
    <x v="0"/>
  </r>
  <r>
    <n v="23426"/>
    <x v="1"/>
    <x v="1"/>
    <n v="80000"/>
    <n v="5"/>
    <x v="4"/>
    <x v="4"/>
    <s v="Yes"/>
    <n v="3"/>
    <x v="0"/>
    <s v="Pacific"/>
    <n v="40"/>
    <x v="0"/>
    <x v="0"/>
  </r>
  <r>
    <n v="14798"/>
    <x v="1"/>
    <x v="0"/>
    <n v="10000"/>
    <n v="4"/>
    <x v="3"/>
    <x v="3"/>
    <s v="Yes"/>
    <n v="2"/>
    <x v="0"/>
    <s v="Europe"/>
    <n v="41"/>
    <x v="0"/>
    <x v="1"/>
  </r>
  <r>
    <n v="12664"/>
    <x v="0"/>
    <x v="0"/>
    <n v="130000"/>
    <n v="5"/>
    <x v="1"/>
    <x v="2"/>
    <s v="Yes"/>
    <n v="4"/>
    <x v="0"/>
    <s v="Europe"/>
    <n v="59"/>
    <x v="0"/>
    <x v="0"/>
  </r>
  <r>
    <n v="23979"/>
    <x v="1"/>
    <x v="1"/>
    <n v="10000"/>
    <n v="2"/>
    <x v="1"/>
    <x v="3"/>
    <s v="No"/>
    <n v="0"/>
    <x v="0"/>
    <s v="Europe"/>
    <n v="50"/>
    <x v="1"/>
    <x v="0"/>
  </r>
  <r>
    <n v="25605"/>
    <x v="1"/>
    <x v="0"/>
    <n v="20000"/>
    <n v="2"/>
    <x v="1"/>
    <x v="3"/>
    <s v="No"/>
    <n v="1"/>
    <x v="0"/>
    <s v="Europe"/>
    <n v="54"/>
    <x v="1"/>
    <x v="1"/>
  </r>
  <r>
    <n v="20797"/>
    <x v="0"/>
    <x v="0"/>
    <n v="10000"/>
    <n v="1"/>
    <x v="0"/>
    <x v="3"/>
    <s v="Yes"/>
    <n v="0"/>
    <x v="0"/>
    <s v="Europe"/>
    <n v="48"/>
    <x v="0"/>
    <x v="0"/>
  </r>
  <r>
    <n v="21980"/>
    <x v="1"/>
    <x v="0"/>
    <n v="60000"/>
    <n v="1"/>
    <x v="0"/>
    <x v="2"/>
    <s v="Yes"/>
    <n v="1"/>
    <x v="2"/>
    <s v="Pacific"/>
    <n v="44"/>
    <x v="2"/>
    <x v="1"/>
  </r>
  <r>
    <n v="25460"/>
    <x v="0"/>
    <x v="0"/>
    <n v="20000"/>
    <n v="2"/>
    <x v="2"/>
    <x v="3"/>
    <s v="Yes"/>
    <n v="0"/>
    <x v="0"/>
    <s v="Europe"/>
    <n v="40"/>
    <x v="0"/>
    <x v="1"/>
  </r>
  <r>
    <n v="29181"/>
    <x v="1"/>
    <x v="0"/>
    <n v="60000"/>
    <n v="2"/>
    <x v="0"/>
    <x v="2"/>
    <s v="No"/>
    <n v="1"/>
    <x v="0"/>
    <s v="Pacific"/>
    <n v="38"/>
    <x v="0"/>
    <x v="1"/>
  </r>
  <r>
    <n v="24279"/>
    <x v="1"/>
    <x v="1"/>
    <n v="40000"/>
    <n v="2"/>
    <x v="1"/>
    <x v="0"/>
    <s v="No"/>
    <n v="2"/>
    <x v="3"/>
    <s v="Pacific"/>
    <n v="52"/>
    <x v="2"/>
    <x v="0"/>
  </r>
  <r>
    <n v="22402"/>
    <x v="0"/>
    <x v="1"/>
    <n v="10000"/>
    <n v="0"/>
    <x v="1"/>
    <x v="3"/>
    <s v="Yes"/>
    <n v="1"/>
    <x v="1"/>
    <s v="Pacific"/>
    <n v="25"/>
    <x v="0"/>
    <x v="1"/>
  </r>
  <r>
    <n v="15465"/>
    <x v="0"/>
    <x v="0"/>
    <n v="10000"/>
    <n v="0"/>
    <x v="1"/>
    <x v="3"/>
    <s v="No"/>
    <n v="1"/>
    <x v="0"/>
    <s v="Pacific"/>
    <n v="25"/>
    <x v="1"/>
    <x v="0"/>
  </r>
  <r>
    <n v="26757"/>
    <x v="1"/>
    <x v="1"/>
    <n v="90000"/>
    <n v="1"/>
    <x v="0"/>
    <x v="2"/>
    <s v="Yes"/>
    <n v="1"/>
    <x v="1"/>
    <s v="Pacific"/>
    <n v="47"/>
    <x v="0"/>
    <x v="1"/>
  </r>
  <r>
    <n v="14233"/>
    <x v="1"/>
    <x v="1"/>
    <n v="100000"/>
    <n v="0"/>
    <x v="2"/>
    <x v="4"/>
    <s v="Yes"/>
    <n v="3"/>
    <x v="4"/>
    <s v="Pacific"/>
    <n v="35"/>
    <x v="0"/>
    <x v="0"/>
  </r>
  <r>
    <n v="14058"/>
    <x v="1"/>
    <x v="1"/>
    <n v="70000"/>
    <n v="0"/>
    <x v="0"/>
    <x v="2"/>
    <s v="No"/>
    <n v="1"/>
    <x v="2"/>
    <s v="Pacific"/>
    <n v="41"/>
    <x v="1"/>
    <x v="1"/>
  </r>
  <r>
    <n v="12273"/>
    <x v="0"/>
    <x v="1"/>
    <n v="30000"/>
    <n v="1"/>
    <x v="0"/>
    <x v="1"/>
    <s v="Yes"/>
    <n v="0"/>
    <x v="0"/>
    <s v="Europe"/>
    <n v="47"/>
    <x v="0"/>
    <x v="0"/>
  </r>
  <r>
    <n v="17203"/>
    <x v="0"/>
    <x v="0"/>
    <n v="130000"/>
    <n v="4"/>
    <x v="1"/>
    <x v="2"/>
    <s v="Yes"/>
    <n v="4"/>
    <x v="2"/>
    <s v="Europe"/>
    <n v="61"/>
    <x v="1"/>
    <x v="1"/>
  </r>
  <r>
    <n v="18144"/>
    <x v="0"/>
    <x v="0"/>
    <n v="80000"/>
    <n v="5"/>
    <x v="0"/>
    <x v="4"/>
    <s v="Yes"/>
    <n v="2"/>
    <x v="1"/>
    <s v="Europe"/>
    <n v="61"/>
    <x v="1"/>
    <x v="0"/>
  </r>
  <r>
    <n v="23963"/>
    <x v="0"/>
    <x v="1"/>
    <n v="10000"/>
    <n v="0"/>
    <x v="3"/>
    <x v="3"/>
    <s v="No"/>
    <n v="2"/>
    <x v="0"/>
    <s v="Europe"/>
    <n v="33"/>
    <x v="0"/>
    <x v="0"/>
  </r>
  <r>
    <n v="17907"/>
    <x v="0"/>
    <x v="0"/>
    <n v="10000"/>
    <n v="0"/>
    <x v="1"/>
    <x v="3"/>
    <s v="Yes"/>
    <n v="1"/>
    <x v="1"/>
    <s v="Pacific"/>
    <n v="27"/>
    <x v="1"/>
    <x v="0"/>
  </r>
  <r>
    <n v="19442"/>
    <x v="1"/>
    <x v="1"/>
    <n v="50000"/>
    <n v="0"/>
    <x v="4"/>
    <x v="0"/>
    <s v="Yes"/>
    <n v="0"/>
    <x v="0"/>
    <s v="Europe"/>
    <n v="37"/>
    <x v="1"/>
    <x v="1"/>
  </r>
  <r>
    <n v="17504"/>
    <x v="1"/>
    <x v="0"/>
    <n v="80000"/>
    <n v="2"/>
    <x v="1"/>
    <x v="0"/>
    <s v="Yes"/>
    <n v="2"/>
    <x v="2"/>
    <s v="Pacific"/>
    <n v="52"/>
    <x v="0"/>
    <x v="1"/>
  </r>
  <r>
    <n v="12253"/>
    <x v="1"/>
    <x v="0"/>
    <n v="20000"/>
    <n v="0"/>
    <x v="1"/>
    <x v="3"/>
    <s v="Yes"/>
    <n v="0"/>
    <x v="0"/>
    <s v="Pacific"/>
    <n v="29"/>
    <x v="0"/>
    <x v="1"/>
  </r>
  <r>
    <n v="27304"/>
    <x v="1"/>
    <x v="0"/>
    <n v="110000"/>
    <n v="2"/>
    <x v="1"/>
    <x v="2"/>
    <s v="No"/>
    <n v="3"/>
    <x v="2"/>
    <s v="Europe"/>
    <n v="48"/>
    <x v="1"/>
    <x v="0"/>
  </r>
  <r>
    <n v="14191"/>
    <x v="0"/>
    <x v="1"/>
    <n v="160000"/>
    <n v="4"/>
    <x v="1"/>
    <x v="2"/>
    <s v="No"/>
    <n v="2"/>
    <x v="4"/>
    <s v="Europe"/>
    <n v="55"/>
    <x v="0"/>
    <x v="1"/>
  </r>
  <r>
    <n v="12212"/>
    <x v="0"/>
    <x v="0"/>
    <n v="10000"/>
    <n v="0"/>
    <x v="4"/>
    <x v="3"/>
    <s v="Yes"/>
    <n v="0"/>
    <x v="0"/>
    <s v="Europe"/>
    <n v="37"/>
    <x v="1"/>
    <x v="1"/>
  </r>
  <r>
    <n v="25529"/>
    <x v="1"/>
    <x v="1"/>
    <n v="10000"/>
    <n v="1"/>
    <x v="4"/>
    <x v="3"/>
    <s v="Yes"/>
    <n v="0"/>
    <x v="0"/>
    <s v="Europe"/>
    <n v="44"/>
    <x v="0"/>
    <x v="0"/>
  </r>
  <r>
    <n v="22170"/>
    <x v="0"/>
    <x v="0"/>
    <n v="30000"/>
    <n v="3"/>
    <x v="1"/>
    <x v="1"/>
    <s v="No"/>
    <n v="2"/>
    <x v="3"/>
    <s v="Pacific"/>
    <n v="55"/>
    <x v="0"/>
    <x v="1"/>
  </r>
  <r>
    <n v="19445"/>
    <x v="0"/>
    <x v="0"/>
    <n v="10000"/>
    <n v="2"/>
    <x v="2"/>
    <x v="3"/>
    <s v="No"/>
    <n v="1"/>
    <x v="0"/>
    <s v="Europe"/>
    <n v="38"/>
    <x v="2"/>
    <x v="0"/>
  </r>
  <r>
    <n v="15265"/>
    <x v="1"/>
    <x v="1"/>
    <n v="40000"/>
    <n v="2"/>
    <x v="0"/>
    <x v="4"/>
    <s v="Yes"/>
    <n v="2"/>
    <x v="2"/>
    <s v="Pacific"/>
    <n v="66"/>
    <x v="0"/>
    <x v="1"/>
  </r>
  <r>
    <n v="28918"/>
    <x v="0"/>
    <x v="0"/>
    <n v="130000"/>
    <n v="4"/>
    <x v="2"/>
    <x v="4"/>
    <s v="No"/>
    <n v="4"/>
    <x v="4"/>
    <s v="Europe"/>
    <n v="58"/>
    <x v="1"/>
    <x v="0"/>
  </r>
  <r>
    <n v="15799"/>
    <x v="0"/>
    <x v="0"/>
    <n v="90000"/>
    <n v="1"/>
    <x v="0"/>
    <x v="2"/>
    <s v="Yes"/>
    <n v="1"/>
    <x v="1"/>
    <s v="Pacific"/>
    <n v="47"/>
    <x v="0"/>
    <x v="1"/>
  </r>
  <r>
    <n v="11047"/>
    <x v="0"/>
    <x v="0"/>
    <n v="30000"/>
    <n v="3"/>
    <x v="2"/>
    <x v="0"/>
    <s v="No"/>
    <n v="2"/>
    <x v="3"/>
    <s v="Pacific"/>
    <n v="56"/>
    <x v="0"/>
    <x v="1"/>
  </r>
  <r>
    <n v="18151"/>
    <x v="1"/>
    <x v="1"/>
    <n v="80000"/>
    <n v="5"/>
    <x v="1"/>
    <x v="2"/>
    <s v="No"/>
    <n v="2"/>
    <x v="4"/>
    <s v="Europe"/>
    <n v="59"/>
    <x v="0"/>
    <x v="0"/>
  </r>
  <r>
    <n v="20606"/>
    <x v="0"/>
    <x v="0"/>
    <n v="70000"/>
    <n v="0"/>
    <x v="0"/>
    <x v="2"/>
    <s v="Yes"/>
    <n v="4"/>
    <x v="4"/>
    <s v="Pacific"/>
    <n v="32"/>
    <x v="2"/>
    <x v="1"/>
  </r>
  <r>
    <n v="19482"/>
    <x v="0"/>
    <x v="1"/>
    <n v="30000"/>
    <n v="1"/>
    <x v="1"/>
    <x v="1"/>
    <s v="Yes"/>
    <n v="1"/>
    <x v="0"/>
    <s v="Europe"/>
    <n v="44"/>
    <x v="0"/>
    <x v="1"/>
  </r>
  <r>
    <n v="16489"/>
    <x v="0"/>
    <x v="1"/>
    <n v="30000"/>
    <n v="3"/>
    <x v="2"/>
    <x v="0"/>
    <s v="Yes"/>
    <n v="2"/>
    <x v="2"/>
    <s v="Pacific"/>
    <n v="55"/>
    <x v="0"/>
    <x v="0"/>
  </r>
  <r>
    <n v="26944"/>
    <x v="1"/>
    <x v="1"/>
    <n v="90000"/>
    <n v="2"/>
    <x v="2"/>
    <x v="3"/>
    <s v="Yes"/>
    <n v="0"/>
    <x v="0"/>
    <s v="Europe"/>
    <n v="36"/>
    <x v="0"/>
    <x v="1"/>
  </r>
  <r>
    <n v="15682"/>
    <x v="1"/>
    <x v="0"/>
    <n v="80000"/>
    <n v="5"/>
    <x v="0"/>
    <x v="4"/>
    <s v="Yes"/>
    <n v="2"/>
    <x v="4"/>
    <s v="Europe"/>
    <n v="62"/>
    <x v="0"/>
    <x v="0"/>
  </r>
  <r>
    <n v="26032"/>
    <x v="0"/>
    <x v="0"/>
    <n v="70000"/>
    <n v="5"/>
    <x v="0"/>
    <x v="2"/>
    <s v="Yes"/>
    <n v="4"/>
    <x v="4"/>
    <s v="Pacific"/>
    <n v="41"/>
    <x v="1"/>
    <x v="0"/>
  </r>
  <r>
    <n v="17843"/>
    <x v="1"/>
    <x v="0"/>
    <n v="10000"/>
    <n v="0"/>
    <x v="3"/>
    <x v="3"/>
    <s v="No"/>
    <n v="2"/>
    <x v="0"/>
    <s v="Europe"/>
    <n v="32"/>
    <x v="2"/>
    <x v="0"/>
  </r>
  <r>
    <n v="25559"/>
    <x v="1"/>
    <x v="1"/>
    <n v="20000"/>
    <n v="0"/>
    <x v="0"/>
    <x v="1"/>
    <s v="Yes"/>
    <n v="0"/>
    <x v="0"/>
    <s v="Pacific"/>
    <n v="25"/>
    <x v="0"/>
    <x v="1"/>
  </r>
  <r>
    <n v="16209"/>
    <x v="1"/>
    <x v="0"/>
    <n v="50000"/>
    <n v="0"/>
    <x v="4"/>
    <x v="0"/>
    <s v="Yes"/>
    <n v="0"/>
    <x v="3"/>
    <s v="Europe"/>
    <n v="36"/>
    <x v="0"/>
    <x v="0"/>
  </r>
  <r>
    <n v="11147"/>
    <x v="0"/>
    <x v="1"/>
    <n v="60000"/>
    <n v="2"/>
    <x v="4"/>
    <x v="4"/>
    <s v="Yes"/>
    <n v="1"/>
    <x v="0"/>
    <s v="Pacific"/>
    <n v="67"/>
    <x v="0"/>
    <x v="1"/>
  </r>
  <r>
    <n v="15214"/>
    <x v="1"/>
    <x v="0"/>
    <n v="100000"/>
    <n v="0"/>
    <x v="4"/>
    <x v="4"/>
    <s v="No"/>
    <n v="1"/>
    <x v="3"/>
    <s v="Pacific"/>
    <n v="39"/>
    <x v="0"/>
    <x v="1"/>
  </r>
  <r>
    <n v="11453"/>
    <x v="1"/>
    <x v="1"/>
    <n v="80000"/>
    <n v="0"/>
    <x v="0"/>
    <x v="2"/>
    <s v="No"/>
    <n v="3"/>
    <x v="4"/>
    <s v="Pacific"/>
    <n v="33"/>
    <x v="2"/>
    <x v="1"/>
  </r>
  <r>
    <n v="24584"/>
    <x v="1"/>
    <x v="1"/>
    <n v="60000"/>
    <n v="0"/>
    <x v="0"/>
    <x v="2"/>
    <s v="No"/>
    <n v="3"/>
    <x v="1"/>
    <s v="Pacific"/>
    <n v="31"/>
    <x v="0"/>
    <x v="0"/>
  </r>
  <r>
    <n v="12585"/>
    <x v="0"/>
    <x v="1"/>
    <n v="10000"/>
    <n v="1"/>
    <x v="2"/>
    <x v="3"/>
    <s v="Yes"/>
    <n v="0"/>
    <x v="1"/>
    <s v="Pacific"/>
    <n v="27"/>
    <x v="1"/>
    <x v="1"/>
  </r>
  <r>
    <n v="18626"/>
    <x v="1"/>
    <x v="1"/>
    <n v="40000"/>
    <n v="2"/>
    <x v="1"/>
    <x v="1"/>
    <s v="Yes"/>
    <n v="0"/>
    <x v="3"/>
    <s v="Europe"/>
    <n v="33"/>
    <x v="0"/>
    <x v="1"/>
  </r>
  <r>
    <n v="29298"/>
    <x v="1"/>
    <x v="0"/>
    <n v="60000"/>
    <n v="1"/>
    <x v="1"/>
    <x v="0"/>
    <s v="Yes"/>
    <n v="1"/>
    <x v="2"/>
    <s v="Pacific"/>
    <n v="46"/>
    <x v="0"/>
    <x v="1"/>
  </r>
  <r>
    <n v="24842"/>
    <x v="1"/>
    <x v="0"/>
    <n v="90000"/>
    <n v="3"/>
    <x v="2"/>
    <x v="2"/>
    <s v="No"/>
    <n v="1"/>
    <x v="1"/>
    <s v="Europe"/>
    <n v="51"/>
    <x v="2"/>
    <x v="0"/>
  </r>
  <r>
    <n v="15657"/>
    <x v="0"/>
    <x v="1"/>
    <n v="30000"/>
    <n v="3"/>
    <x v="4"/>
    <x v="1"/>
    <s v="Yes"/>
    <n v="0"/>
    <x v="0"/>
    <s v="Europe"/>
    <n v="46"/>
    <x v="0"/>
    <x v="1"/>
  </r>
  <r>
    <n v="11415"/>
    <x v="1"/>
    <x v="1"/>
    <n v="90000"/>
    <n v="5"/>
    <x v="1"/>
    <x v="2"/>
    <s v="No"/>
    <n v="2"/>
    <x v="4"/>
    <s v="Europe"/>
    <n v="62"/>
    <x v="2"/>
    <x v="0"/>
  </r>
  <r>
    <n v="28729"/>
    <x v="1"/>
    <x v="0"/>
    <n v="20000"/>
    <n v="0"/>
    <x v="3"/>
    <x v="3"/>
    <s v="Yes"/>
    <n v="2"/>
    <x v="3"/>
    <s v="Europe"/>
    <n v="26"/>
    <x v="0"/>
    <x v="1"/>
  </r>
  <r>
    <n v="22633"/>
    <x v="1"/>
    <x v="0"/>
    <n v="40000"/>
    <n v="0"/>
    <x v="4"/>
    <x v="1"/>
    <s v="Yes"/>
    <n v="0"/>
    <x v="0"/>
    <s v="Europe"/>
    <n v="37"/>
    <x v="0"/>
    <x v="1"/>
  </r>
  <r>
    <n v="25649"/>
    <x v="1"/>
    <x v="0"/>
    <n v="30000"/>
    <n v="3"/>
    <x v="1"/>
    <x v="1"/>
    <s v="Yes"/>
    <n v="0"/>
    <x v="0"/>
    <s v="Europe"/>
    <n v="42"/>
    <x v="0"/>
    <x v="1"/>
  </r>
  <r>
    <n v="14669"/>
    <x v="0"/>
    <x v="0"/>
    <n v="80000"/>
    <n v="4"/>
    <x v="4"/>
    <x v="4"/>
    <s v="Yes"/>
    <n v="1"/>
    <x v="0"/>
    <s v="Pacific"/>
    <n v="36"/>
    <x v="0"/>
    <x v="0"/>
  </r>
  <r>
    <n v="19299"/>
    <x v="0"/>
    <x v="0"/>
    <n v="50000"/>
    <n v="0"/>
    <x v="4"/>
    <x v="0"/>
    <s v="Yes"/>
    <n v="0"/>
    <x v="0"/>
    <s v="Europe"/>
    <n v="36"/>
    <x v="1"/>
    <x v="1"/>
  </r>
  <r>
    <n v="20946"/>
    <x v="1"/>
    <x v="0"/>
    <n v="30000"/>
    <n v="0"/>
    <x v="1"/>
    <x v="1"/>
    <s v="No"/>
    <n v="1"/>
    <x v="1"/>
    <s v="Europe"/>
    <n v="30"/>
    <x v="0"/>
    <x v="0"/>
  </r>
  <r>
    <n v="11451"/>
    <x v="1"/>
    <x v="1"/>
    <n v="70000"/>
    <n v="0"/>
    <x v="0"/>
    <x v="2"/>
    <s v="No"/>
    <n v="4"/>
    <x v="4"/>
    <s v="Pacific"/>
    <n v="31"/>
    <x v="0"/>
    <x v="1"/>
  </r>
  <r>
    <n v="25553"/>
    <x v="0"/>
    <x v="1"/>
    <n v="30000"/>
    <n v="1"/>
    <x v="0"/>
    <x v="1"/>
    <s v="Yes"/>
    <n v="0"/>
    <x v="0"/>
    <s v="Europe"/>
    <n v="65"/>
    <x v="0"/>
    <x v="1"/>
  </r>
  <r>
    <n v="27951"/>
    <x v="1"/>
    <x v="1"/>
    <n v="80000"/>
    <n v="4"/>
    <x v="1"/>
    <x v="2"/>
    <s v="No"/>
    <n v="2"/>
    <x v="1"/>
    <s v="Europe"/>
    <n v="54"/>
    <x v="0"/>
    <x v="1"/>
  </r>
  <r>
    <n v="25026"/>
    <x v="0"/>
    <x v="1"/>
    <n v="20000"/>
    <n v="2"/>
    <x v="3"/>
    <x v="1"/>
    <s v="Yes"/>
    <n v="3"/>
    <x v="2"/>
    <s v="Pacific"/>
    <n v="54"/>
    <x v="1"/>
    <x v="0"/>
  </r>
  <r>
    <n v="13673"/>
    <x v="1"/>
    <x v="0"/>
    <n v="20000"/>
    <n v="0"/>
    <x v="3"/>
    <x v="3"/>
    <s v="No"/>
    <n v="2"/>
    <x v="0"/>
    <s v="Europe"/>
    <n v="25"/>
    <x v="1"/>
    <x v="0"/>
  </r>
  <r>
    <n v="16043"/>
    <x v="1"/>
    <x v="1"/>
    <n v="10000"/>
    <n v="1"/>
    <x v="0"/>
    <x v="3"/>
    <s v="Yes"/>
    <n v="0"/>
    <x v="0"/>
    <s v="Europe"/>
    <n v="48"/>
    <x v="0"/>
    <x v="0"/>
  </r>
  <r>
    <n v="22399"/>
    <x v="1"/>
    <x v="1"/>
    <n v="10000"/>
    <n v="0"/>
    <x v="1"/>
    <x v="3"/>
    <s v="Yes"/>
    <n v="1"/>
    <x v="3"/>
    <s v="Pacific"/>
    <n v="26"/>
    <x v="0"/>
    <x v="1"/>
  </r>
  <r>
    <n v="27696"/>
    <x v="0"/>
    <x v="1"/>
    <n v="60000"/>
    <n v="1"/>
    <x v="0"/>
    <x v="2"/>
    <s v="Yes"/>
    <n v="1"/>
    <x v="2"/>
    <s v="Pacific"/>
    <n v="43"/>
    <x v="2"/>
    <x v="1"/>
  </r>
  <r>
    <n v="25313"/>
    <x v="1"/>
    <x v="1"/>
    <n v="10000"/>
    <n v="0"/>
    <x v="3"/>
    <x v="3"/>
    <s v="No"/>
    <n v="2"/>
    <x v="3"/>
    <s v="Europe"/>
    <n v="35"/>
    <x v="0"/>
    <x v="0"/>
  </r>
  <r>
    <n v="13813"/>
    <x v="0"/>
    <x v="0"/>
    <n v="30000"/>
    <n v="3"/>
    <x v="1"/>
    <x v="1"/>
    <s v="No"/>
    <n v="0"/>
    <x v="0"/>
    <s v="Europe"/>
    <n v="42"/>
    <x v="1"/>
    <x v="0"/>
  </r>
  <r>
    <n v="18711"/>
    <x v="1"/>
    <x v="0"/>
    <n v="70000"/>
    <n v="5"/>
    <x v="0"/>
    <x v="2"/>
    <s v="Yes"/>
    <n v="4"/>
    <x v="4"/>
    <s v="Pacific"/>
    <n v="39"/>
    <x v="0"/>
    <x v="0"/>
  </r>
  <r>
    <n v="19650"/>
    <x v="0"/>
    <x v="0"/>
    <n v="30000"/>
    <n v="2"/>
    <x v="1"/>
    <x v="1"/>
    <s v="No"/>
    <n v="2"/>
    <x v="0"/>
    <s v="Pacific"/>
    <n v="67"/>
    <x v="2"/>
    <x v="0"/>
  </r>
  <r>
    <n v="14135"/>
    <x v="0"/>
    <x v="1"/>
    <n v="20000"/>
    <n v="1"/>
    <x v="1"/>
    <x v="3"/>
    <s v="Yes"/>
    <n v="0"/>
    <x v="3"/>
    <s v="Europe"/>
    <n v="35"/>
    <x v="0"/>
    <x v="0"/>
  </r>
  <r>
    <n v="12833"/>
    <x v="1"/>
    <x v="0"/>
    <n v="20000"/>
    <n v="3"/>
    <x v="2"/>
    <x v="3"/>
    <s v="Yes"/>
    <n v="1"/>
    <x v="0"/>
    <s v="Europe"/>
    <n v="42"/>
    <x v="0"/>
    <x v="1"/>
  </r>
  <r>
    <n v="26849"/>
    <x v="0"/>
    <x v="1"/>
    <n v="10000"/>
    <n v="3"/>
    <x v="3"/>
    <x v="3"/>
    <s v="Yes"/>
    <n v="2"/>
    <x v="0"/>
    <s v="Europe"/>
    <n v="43"/>
    <x v="0"/>
    <x v="0"/>
  </r>
  <r>
    <n v="20962"/>
    <x v="0"/>
    <x v="0"/>
    <n v="20000"/>
    <n v="1"/>
    <x v="4"/>
    <x v="1"/>
    <s v="Yes"/>
    <n v="0"/>
    <x v="0"/>
    <s v="Europe"/>
    <n v="45"/>
    <x v="2"/>
    <x v="0"/>
  </r>
  <r>
    <n v="28915"/>
    <x v="1"/>
    <x v="1"/>
    <n v="80000"/>
    <n v="5"/>
    <x v="2"/>
    <x v="4"/>
    <s v="Yes"/>
    <n v="3"/>
    <x v="4"/>
    <s v="Europe"/>
    <n v="57"/>
    <x v="0"/>
    <x v="0"/>
  </r>
  <r>
    <n v="22830"/>
    <x v="0"/>
    <x v="1"/>
    <n v="120000"/>
    <n v="4"/>
    <x v="1"/>
    <x v="4"/>
    <s v="Yes"/>
    <n v="3"/>
    <x v="4"/>
    <s v="Europe"/>
    <n v="56"/>
    <x v="2"/>
    <x v="0"/>
  </r>
  <r>
    <n v="14777"/>
    <x v="0"/>
    <x v="0"/>
    <n v="40000"/>
    <n v="0"/>
    <x v="0"/>
    <x v="1"/>
    <s v="Yes"/>
    <n v="0"/>
    <x v="0"/>
    <s v="Europe"/>
    <n v="38"/>
    <x v="0"/>
    <x v="1"/>
  </r>
  <r>
    <n v="12591"/>
    <x v="0"/>
    <x v="0"/>
    <n v="30000"/>
    <n v="4"/>
    <x v="4"/>
    <x v="1"/>
    <s v="Yes"/>
    <n v="0"/>
    <x v="0"/>
    <s v="Europe"/>
    <n v="45"/>
    <x v="0"/>
    <x v="0"/>
  </r>
  <r>
    <n v="24174"/>
    <x v="0"/>
    <x v="1"/>
    <n v="20000"/>
    <n v="0"/>
    <x v="0"/>
    <x v="1"/>
    <s v="Yes"/>
    <n v="0"/>
    <x v="0"/>
    <s v="Pacific"/>
    <n v="27"/>
    <x v="0"/>
    <x v="1"/>
  </r>
  <r>
    <n v="24611"/>
    <x v="1"/>
    <x v="1"/>
    <n v="90000"/>
    <n v="0"/>
    <x v="0"/>
    <x v="2"/>
    <s v="No"/>
    <n v="4"/>
    <x v="4"/>
    <s v="Pacific"/>
    <n v="35"/>
    <x v="0"/>
    <x v="1"/>
  </r>
  <r>
    <n v="11340"/>
    <x v="0"/>
    <x v="0"/>
    <n v="10000"/>
    <n v="1"/>
    <x v="4"/>
    <x v="1"/>
    <s v="Yes"/>
    <n v="0"/>
    <x v="0"/>
    <s v="Europe"/>
    <n v="70"/>
    <x v="1"/>
    <x v="1"/>
  </r>
  <r>
    <n v="25693"/>
    <x v="1"/>
    <x v="0"/>
    <n v="30000"/>
    <n v="5"/>
    <x v="4"/>
    <x v="1"/>
    <s v="Yes"/>
    <n v="0"/>
    <x v="0"/>
    <s v="Europe"/>
    <n v="44"/>
    <x v="0"/>
    <x v="1"/>
  </r>
  <r>
    <n v="25555"/>
    <x v="0"/>
    <x v="0"/>
    <n v="10000"/>
    <n v="0"/>
    <x v="1"/>
    <x v="3"/>
    <s v="No"/>
    <n v="1"/>
    <x v="0"/>
    <s v="Pacific"/>
    <n v="26"/>
    <x v="1"/>
    <x v="1"/>
  </r>
  <r>
    <n v="22006"/>
    <x v="0"/>
    <x v="1"/>
    <n v="70000"/>
    <n v="5"/>
    <x v="1"/>
    <x v="0"/>
    <s v="Yes"/>
    <n v="3"/>
    <x v="2"/>
    <s v="Pacific"/>
    <n v="46"/>
    <x v="1"/>
    <x v="0"/>
  </r>
  <r>
    <n v="20060"/>
    <x v="1"/>
    <x v="0"/>
    <n v="30000"/>
    <n v="0"/>
    <x v="2"/>
    <x v="3"/>
    <s v="No"/>
    <n v="1"/>
    <x v="1"/>
    <s v="Europe"/>
    <n v="34"/>
    <x v="0"/>
    <x v="1"/>
  </r>
  <r>
    <n v="17702"/>
    <x v="0"/>
    <x v="1"/>
    <n v="10000"/>
    <n v="1"/>
    <x v="4"/>
    <x v="3"/>
    <s v="Yes"/>
    <n v="0"/>
    <x v="0"/>
    <s v="Europe"/>
    <n v="37"/>
    <x v="1"/>
    <x v="0"/>
  </r>
  <r>
    <n v="12503"/>
    <x v="1"/>
    <x v="0"/>
    <n v="30000"/>
    <n v="3"/>
    <x v="1"/>
    <x v="1"/>
    <s v="Yes"/>
    <n v="2"/>
    <x v="0"/>
    <s v="Europe"/>
    <n v="27"/>
    <x v="1"/>
    <x v="0"/>
  </r>
  <r>
    <n v="23908"/>
    <x v="1"/>
    <x v="1"/>
    <n v="30000"/>
    <n v="1"/>
    <x v="0"/>
    <x v="1"/>
    <s v="No"/>
    <n v="1"/>
    <x v="0"/>
    <s v="Europe"/>
    <n v="39"/>
    <x v="0"/>
    <x v="1"/>
  </r>
  <r>
    <n v="22527"/>
    <x v="1"/>
    <x v="0"/>
    <n v="20000"/>
    <n v="0"/>
    <x v="2"/>
    <x v="3"/>
    <s v="No"/>
    <n v="1"/>
    <x v="1"/>
    <s v="Europe"/>
    <n v="29"/>
    <x v="0"/>
    <x v="0"/>
  </r>
  <r>
    <n v="19057"/>
    <x v="0"/>
    <x v="0"/>
    <n v="120000"/>
    <n v="3"/>
    <x v="0"/>
    <x v="4"/>
    <s v="No"/>
    <n v="2"/>
    <x v="4"/>
    <s v="Europe"/>
    <n v="52"/>
    <x v="0"/>
    <x v="1"/>
  </r>
  <r>
    <n v="18494"/>
    <x v="0"/>
    <x v="1"/>
    <n v="110000"/>
    <n v="5"/>
    <x v="0"/>
    <x v="4"/>
    <s v="Yes"/>
    <n v="4"/>
    <x v="1"/>
    <s v="Pacific"/>
    <n v="48"/>
    <x v="1"/>
    <x v="1"/>
  </r>
  <r>
    <n v="11249"/>
    <x v="0"/>
    <x v="0"/>
    <n v="130000"/>
    <n v="3"/>
    <x v="1"/>
    <x v="2"/>
    <s v="Yes"/>
    <n v="3"/>
    <x v="0"/>
    <s v="Europe"/>
    <n v="51"/>
    <x v="0"/>
    <x v="1"/>
  </r>
  <r>
    <n v="21568"/>
    <x v="0"/>
    <x v="0"/>
    <n v="100000"/>
    <n v="0"/>
    <x v="2"/>
    <x v="4"/>
    <s v="Yes"/>
    <n v="4"/>
    <x v="4"/>
    <s v="Pacific"/>
    <n v="34"/>
    <x v="0"/>
    <x v="1"/>
  </r>
  <r>
    <n v="13981"/>
    <x v="0"/>
    <x v="0"/>
    <n v="10000"/>
    <n v="5"/>
    <x v="2"/>
    <x v="0"/>
    <s v="No"/>
    <n v="3"/>
    <x v="3"/>
    <s v="Pacific"/>
    <n v="62"/>
    <x v="0"/>
    <x v="0"/>
  </r>
  <r>
    <n v="23432"/>
    <x v="1"/>
    <x v="1"/>
    <n v="70000"/>
    <n v="0"/>
    <x v="0"/>
    <x v="2"/>
    <s v="Yes"/>
    <n v="1"/>
    <x v="2"/>
    <s v="Pacific"/>
    <n v="37"/>
    <x v="0"/>
    <x v="1"/>
  </r>
  <r>
    <n v="22931"/>
    <x v="0"/>
    <x v="1"/>
    <n v="100000"/>
    <n v="5"/>
    <x v="4"/>
    <x v="4"/>
    <s v="No"/>
    <n v="1"/>
    <x v="3"/>
    <s v="Pacific"/>
    <n v="78"/>
    <x v="0"/>
    <x v="1"/>
  </r>
  <r>
    <n v="18172"/>
    <x v="0"/>
    <x v="1"/>
    <n v="130000"/>
    <n v="4"/>
    <x v="2"/>
    <x v="2"/>
    <s v="Yes"/>
    <n v="3"/>
    <x v="0"/>
    <s v="Europe"/>
    <n v="55"/>
    <x v="0"/>
    <x v="0"/>
  </r>
  <r>
    <n v="12666"/>
    <x v="1"/>
    <x v="1"/>
    <n v="60000"/>
    <n v="0"/>
    <x v="0"/>
    <x v="2"/>
    <s v="No"/>
    <n v="4"/>
    <x v="1"/>
    <s v="Pacific"/>
    <n v="31"/>
    <x v="0"/>
    <x v="0"/>
  </r>
  <r>
    <n v="20598"/>
    <x v="0"/>
    <x v="1"/>
    <n v="100000"/>
    <n v="3"/>
    <x v="3"/>
    <x v="2"/>
    <s v="Yes"/>
    <n v="0"/>
    <x v="4"/>
    <s v="Europe"/>
    <n v="59"/>
    <x v="2"/>
    <x v="1"/>
  </r>
  <r>
    <n v="21375"/>
    <x v="1"/>
    <x v="1"/>
    <n v="20000"/>
    <n v="2"/>
    <x v="3"/>
    <x v="1"/>
    <s v="Yes"/>
    <n v="2"/>
    <x v="2"/>
    <s v="Pacific"/>
    <n v="57"/>
    <x v="0"/>
    <x v="0"/>
  </r>
  <r>
    <n v="20839"/>
    <x v="1"/>
    <x v="0"/>
    <n v="30000"/>
    <n v="3"/>
    <x v="4"/>
    <x v="1"/>
    <s v="Yes"/>
    <n v="0"/>
    <x v="0"/>
    <s v="Europe"/>
    <n v="47"/>
    <x v="0"/>
    <x v="1"/>
  </r>
  <r>
    <n v="21738"/>
    <x v="0"/>
    <x v="1"/>
    <n v="20000"/>
    <n v="1"/>
    <x v="4"/>
    <x v="1"/>
    <s v="Yes"/>
    <n v="0"/>
    <x v="0"/>
    <s v="Europe"/>
    <n v="43"/>
    <x v="0"/>
    <x v="0"/>
  </r>
  <r>
    <n v="14164"/>
    <x v="1"/>
    <x v="0"/>
    <n v="50000"/>
    <n v="0"/>
    <x v="4"/>
    <x v="0"/>
    <s v="Yes"/>
    <n v="0"/>
    <x v="0"/>
    <s v="Europe"/>
    <n v="36"/>
    <x v="0"/>
    <x v="1"/>
  </r>
  <r>
    <n v="14193"/>
    <x v="1"/>
    <x v="0"/>
    <n v="100000"/>
    <n v="3"/>
    <x v="1"/>
    <x v="4"/>
    <s v="Yes"/>
    <n v="4"/>
    <x v="4"/>
    <s v="Europe"/>
    <n v="56"/>
    <x v="2"/>
    <x v="0"/>
  </r>
  <r>
    <n v="12705"/>
    <x v="0"/>
    <x v="1"/>
    <n v="150000"/>
    <n v="0"/>
    <x v="0"/>
    <x v="4"/>
    <s v="Yes"/>
    <n v="4"/>
    <x v="0"/>
    <s v="Pacific"/>
    <n v="37"/>
    <x v="0"/>
    <x v="1"/>
  </r>
  <r>
    <n v="22672"/>
    <x v="1"/>
    <x v="0"/>
    <n v="30000"/>
    <n v="2"/>
    <x v="1"/>
    <x v="1"/>
    <s v="Yes"/>
    <n v="0"/>
    <x v="0"/>
    <s v="Europe"/>
    <n v="43"/>
    <x v="2"/>
    <x v="0"/>
  </r>
  <r>
    <n v="26219"/>
    <x v="0"/>
    <x v="0"/>
    <n v="40000"/>
    <n v="1"/>
    <x v="0"/>
    <x v="0"/>
    <s v="Yes"/>
    <n v="1"/>
    <x v="3"/>
    <s v="Europe"/>
    <n v="33"/>
    <x v="0"/>
    <x v="1"/>
  </r>
  <r>
    <n v="28468"/>
    <x v="0"/>
    <x v="0"/>
    <n v="10000"/>
    <n v="2"/>
    <x v="1"/>
    <x v="3"/>
    <s v="Yes"/>
    <n v="0"/>
    <x v="3"/>
    <s v="Europe"/>
    <n v="51"/>
    <x v="0"/>
    <x v="0"/>
  </r>
  <r>
    <n v="23419"/>
    <x v="1"/>
    <x v="0"/>
    <n v="70000"/>
    <n v="5"/>
    <x v="0"/>
    <x v="2"/>
    <s v="Yes"/>
    <n v="3"/>
    <x v="4"/>
    <s v="Pacific"/>
    <n v="39"/>
    <x v="0"/>
    <x v="0"/>
  </r>
  <r>
    <n v="17964"/>
    <x v="0"/>
    <x v="1"/>
    <n v="40000"/>
    <n v="0"/>
    <x v="4"/>
    <x v="1"/>
    <s v="Yes"/>
    <n v="0"/>
    <x v="0"/>
    <s v="Europe"/>
    <n v="37"/>
    <x v="0"/>
    <x v="1"/>
  </r>
  <r>
    <n v="20919"/>
    <x v="1"/>
    <x v="0"/>
    <n v="30000"/>
    <n v="2"/>
    <x v="1"/>
    <x v="1"/>
    <s v="Yes"/>
    <n v="2"/>
    <x v="0"/>
    <s v="Europe"/>
    <n v="42"/>
    <x v="0"/>
    <x v="0"/>
  </r>
  <r>
    <n v="20927"/>
    <x v="1"/>
    <x v="0"/>
    <n v="20000"/>
    <n v="5"/>
    <x v="2"/>
    <x v="3"/>
    <s v="Yes"/>
    <n v="2"/>
    <x v="0"/>
    <s v="Europe"/>
    <n v="27"/>
    <x v="0"/>
    <x v="0"/>
  </r>
  <r>
    <n v="13133"/>
    <x v="1"/>
    <x v="1"/>
    <n v="100000"/>
    <n v="5"/>
    <x v="0"/>
    <x v="2"/>
    <s v="Yes"/>
    <n v="1"/>
    <x v="2"/>
    <s v="Pacific"/>
    <n v="47"/>
    <x v="0"/>
    <x v="1"/>
  </r>
  <r>
    <n v="19626"/>
    <x v="0"/>
    <x v="1"/>
    <n v="70000"/>
    <n v="5"/>
    <x v="1"/>
    <x v="0"/>
    <s v="Yes"/>
    <n v="3"/>
    <x v="2"/>
    <s v="Pacific"/>
    <n v="45"/>
    <x v="0"/>
    <x v="0"/>
  </r>
  <r>
    <n v="21039"/>
    <x v="1"/>
    <x v="0"/>
    <n v="50000"/>
    <n v="0"/>
    <x v="4"/>
    <x v="0"/>
    <s v="No"/>
    <n v="0"/>
    <x v="0"/>
    <s v="Europe"/>
    <n v="37"/>
    <x v="0"/>
    <x v="1"/>
  </r>
  <r>
    <n v="12231"/>
    <x v="1"/>
    <x v="0"/>
    <n v="10000"/>
    <n v="2"/>
    <x v="1"/>
    <x v="3"/>
    <s v="Yes"/>
    <n v="0"/>
    <x v="0"/>
    <s v="Europe"/>
    <n v="51"/>
    <x v="0"/>
    <x v="1"/>
  </r>
  <r>
    <n v="25665"/>
    <x v="1"/>
    <x v="0"/>
    <n v="20000"/>
    <n v="0"/>
    <x v="2"/>
    <x v="3"/>
    <s v="No"/>
    <n v="1"/>
    <x v="3"/>
    <s v="Europe"/>
    <n v="28"/>
    <x v="0"/>
    <x v="0"/>
  </r>
  <r>
    <n v="24061"/>
    <x v="0"/>
    <x v="1"/>
    <n v="10000"/>
    <n v="4"/>
    <x v="3"/>
    <x v="3"/>
    <s v="Yes"/>
    <n v="1"/>
    <x v="0"/>
    <s v="Europe"/>
    <n v="40"/>
    <x v="0"/>
    <x v="1"/>
  </r>
  <r>
    <n v="26879"/>
    <x v="1"/>
    <x v="0"/>
    <n v="20000"/>
    <n v="0"/>
    <x v="2"/>
    <x v="3"/>
    <s v="No"/>
    <n v="1"/>
    <x v="1"/>
    <s v="Europe"/>
    <n v="30"/>
    <x v="0"/>
    <x v="0"/>
  </r>
  <r>
    <n v="12284"/>
    <x v="0"/>
    <x v="0"/>
    <n v="30000"/>
    <n v="0"/>
    <x v="0"/>
    <x v="1"/>
    <s v="No"/>
    <n v="0"/>
    <x v="0"/>
    <s v="Europe"/>
    <n v="36"/>
    <x v="0"/>
    <x v="1"/>
  </r>
  <r>
    <n v="26654"/>
    <x v="0"/>
    <x v="0"/>
    <n v="90000"/>
    <n v="1"/>
    <x v="4"/>
    <x v="4"/>
    <s v="Yes"/>
    <n v="0"/>
    <x v="0"/>
    <s v="Pacific"/>
    <n v="37"/>
    <x v="0"/>
    <x v="1"/>
  </r>
  <r>
    <n v="14545"/>
    <x v="0"/>
    <x v="0"/>
    <n v="10000"/>
    <n v="2"/>
    <x v="1"/>
    <x v="3"/>
    <s v="Yes"/>
    <n v="0"/>
    <x v="3"/>
    <s v="Europe"/>
    <n v="49"/>
    <x v="0"/>
    <x v="0"/>
  </r>
  <r>
    <n v="24201"/>
    <x v="0"/>
    <x v="0"/>
    <n v="10000"/>
    <n v="2"/>
    <x v="2"/>
    <x v="3"/>
    <s v="Yes"/>
    <n v="0"/>
    <x v="0"/>
    <s v="Europe"/>
    <n v="37"/>
    <x v="0"/>
    <x v="1"/>
  </r>
  <r>
    <n v="20625"/>
    <x v="0"/>
    <x v="1"/>
    <n v="100000"/>
    <n v="0"/>
    <x v="2"/>
    <x v="4"/>
    <s v="Yes"/>
    <n v="3"/>
    <x v="4"/>
    <s v="Pacific"/>
    <n v="35"/>
    <x v="0"/>
    <x v="1"/>
  </r>
  <r>
    <n v="16390"/>
    <x v="1"/>
    <x v="1"/>
    <n v="30000"/>
    <n v="1"/>
    <x v="0"/>
    <x v="1"/>
    <s v="No"/>
    <n v="0"/>
    <x v="0"/>
    <s v="Europe"/>
    <n v="38"/>
    <x v="0"/>
    <x v="1"/>
  </r>
  <r>
    <n v="14804"/>
    <x v="1"/>
    <x v="0"/>
    <n v="10000"/>
    <n v="3"/>
    <x v="3"/>
    <x v="3"/>
    <s v="Yes"/>
    <n v="2"/>
    <x v="0"/>
    <s v="Europe"/>
    <n v="43"/>
    <x v="0"/>
    <x v="0"/>
  </r>
  <r>
    <n v="12629"/>
    <x v="1"/>
    <x v="1"/>
    <n v="20000"/>
    <n v="1"/>
    <x v="1"/>
    <x v="3"/>
    <s v="No"/>
    <n v="0"/>
    <x v="0"/>
    <s v="Europe"/>
    <n v="37"/>
    <x v="0"/>
    <x v="0"/>
  </r>
  <r>
    <n v="14696"/>
    <x v="1"/>
    <x v="1"/>
    <n v="10000"/>
    <n v="0"/>
    <x v="3"/>
    <x v="3"/>
    <s v="No"/>
    <n v="2"/>
    <x v="0"/>
    <s v="Europe"/>
    <n v="34"/>
    <x v="0"/>
    <x v="0"/>
  </r>
  <r>
    <n v="22005"/>
    <x v="0"/>
    <x v="0"/>
    <n v="70000"/>
    <n v="5"/>
    <x v="1"/>
    <x v="0"/>
    <s v="No"/>
    <n v="3"/>
    <x v="2"/>
    <s v="Pacific"/>
    <n v="46"/>
    <x v="0"/>
    <x v="0"/>
  </r>
  <r>
    <n v="14544"/>
    <x v="1"/>
    <x v="1"/>
    <n v="10000"/>
    <n v="1"/>
    <x v="1"/>
    <x v="3"/>
    <s v="Yes"/>
    <n v="0"/>
    <x v="0"/>
    <s v="Europe"/>
    <n v="49"/>
    <x v="0"/>
    <x v="0"/>
  </r>
  <r>
    <n v="14312"/>
    <x v="0"/>
    <x v="0"/>
    <n v="60000"/>
    <n v="1"/>
    <x v="1"/>
    <x v="0"/>
    <s v="Yes"/>
    <n v="1"/>
    <x v="2"/>
    <s v="Pacific"/>
    <n v="45"/>
    <x v="0"/>
    <x v="0"/>
  </r>
  <r>
    <n v="29120"/>
    <x v="1"/>
    <x v="0"/>
    <n v="100000"/>
    <n v="1"/>
    <x v="0"/>
    <x v="4"/>
    <s v="Yes"/>
    <n v="4"/>
    <x v="1"/>
    <s v="Pacific"/>
    <n v="48"/>
    <x v="1"/>
    <x v="0"/>
  </r>
  <r>
    <n v="24187"/>
    <x v="1"/>
    <x v="0"/>
    <n v="30000"/>
    <n v="3"/>
    <x v="4"/>
    <x v="1"/>
    <s v="No"/>
    <n v="0"/>
    <x v="0"/>
    <s v="Europe"/>
    <n v="46"/>
    <x v="1"/>
    <x v="1"/>
  </r>
  <r>
    <n v="15758"/>
    <x v="0"/>
    <x v="1"/>
    <n v="130000"/>
    <n v="0"/>
    <x v="4"/>
    <x v="4"/>
    <s v="Yes"/>
    <n v="0"/>
    <x v="2"/>
    <s v="Pacific"/>
    <n v="48"/>
    <x v="2"/>
    <x v="0"/>
  </r>
  <r>
    <n v="29094"/>
    <x v="0"/>
    <x v="1"/>
    <n v="30000"/>
    <n v="3"/>
    <x v="2"/>
    <x v="0"/>
    <s v="Yes"/>
    <n v="2"/>
    <x v="2"/>
    <s v="Pacific"/>
    <n v="54"/>
    <x v="1"/>
    <x v="1"/>
  </r>
  <r>
    <n v="28319"/>
    <x v="1"/>
    <x v="0"/>
    <n v="60000"/>
    <n v="1"/>
    <x v="1"/>
    <x v="0"/>
    <s v="No"/>
    <n v="1"/>
    <x v="0"/>
    <s v="Pacific"/>
    <n v="46"/>
    <x v="0"/>
    <x v="1"/>
  </r>
  <r>
    <n v="16406"/>
    <x v="0"/>
    <x v="1"/>
    <n v="40000"/>
    <n v="0"/>
    <x v="0"/>
    <x v="1"/>
    <s v="No"/>
    <n v="0"/>
    <x v="0"/>
    <s v="Europe"/>
    <n v="38"/>
    <x v="0"/>
    <x v="1"/>
  </r>
  <r>
    <n v="20923"/>
    <x v="0"/>
    <x v="0"/>
    <n v="40000"/>
    <n v="1"/>
    <x v="0"/>
    <x v="0"/>
    <s v="Yes"/>
    <n v="0"/>
    <x v="0"/>
    <s v="Europe"/>
    <n v="42"/>
    <x v="1"/>
    <x v="1"/>
  </r>
  <r>
    <n v="11378"/>
    <x v="1"/>
    <x v="0"/>
    <n v="10000"/>
    <n v="1"/>
    <x v="2"/>
    <x v="3"/>
    <s v="No"/>
    <n v="1"/>
    <x v="1"/>
    <s v="Europe"/>
    <n v="46"/>
    <x v="0"/>
    <x v="1"/>
  </r>
  <r>
    <n v="20851"/>
    <x v="1"/>
    <x v="1"/>
    <n v="20000"/>
    <n v="0"/>
    <x v="1"/>
    <x v="3"/>
    <s v="No"/>
    <n v="1"/>
    <x v="1"/>
    <s v="Europe"/>
    <n v="36"/>
    <x v="1"/>
    <x v="1"/>
  </r>
  <r>
    <n v="21557"/>
    <x v="1"/>
    <x v="0"/>
    <n v="110000"/>
    <n v="0"/>
    <x v="1"/>
    <x v="4"/>
    <s v="Yes"/>
    <n v="3"/>
    <x v="4"/>
    <s v="Pacific"/>
    <n v="32"/>
    <x v="0"/>
    <x v="1"/>
  </r>
  <r>
    <n v="26663"/>
    <x v="1"/>
    <x v="0"/>
    <n v="60000"/>
    <n v="2"/>
    <x v="0"/>
    <x v="2"/>
    <s v="No"/>
    <n v="1"/>
    <x v="0"/>
    <s v="Pacific"/>
    <n v="39"/>
    <x v="0"/>
    <x v="1"/>
  </r>
  <r>
    <n v="11896"/>
    <x v="0"/>
    <x v="1"/>
    <n v="100000"/>
    <n v="1"/>
    <x v="4"/>
    <x v="4"/>
    <s v="Yes"/>
    <n v="0"/>
    <x v="1"/>
    <s v="Pacific"/>
    <n v="36"/>
    <x v="0"/>
    <x v="1"/>
  </r>
  <r>
    <n v="14189"/>
    <x v="0"/>
    <x v="0"/>
    <n v="90000"/>
    <n v="4"/>
    <x v="2"/>
    <x v="2"/>
    <s v="No"/>
    <n v="2"/>
    <x v="1"/>
    <s v="Europe"/>
    <n v="54"/>
    <x v="0"/>
    <x v="1"/>
  </r>
  <r>
    <n v="13136"/>
    <x v="0"/>
    <x v="0"/>
    <n v="30000"/>
    <n v="2"/>
    <x v="1"/>
    <x v="1"/>
    <s v="No"/>
    <n v="2"/>
    <x v="2"/>
    <s v="Pacific"/>
    <n v="69"/>
    <x v="1"/>
    <x v="0"/>
  </r>
  <r>
    <n v="25906"/>
    <x v="1"/>
    <x v="0"/>
    <n v="10000"/>
    <n v="5"/>
    <x v="2"/>
    <x v="0"/>
    <s v="No"/>
    <n v="2"/>
    <x v="3"/>
    <s v="Pacific"/>
    <n v="62"/>
    <x v="0"/>
    <x v="0"/>
  </r>
  <r>
    <n v="17926"/>
    <x v="1"/>
    <x v="0"/>
    <n v="40000"/>
    <n v="0"/>
    <x v="0"/>
    <x v="1"/>
    <s v="No"/>
    <n v="0"/>
    <x v="0"/>
    <s v="Pacific"/>
    <n v="28"/>
    <x v="0"/>
    <x v="1"/>
  </r>
  <r>
    <n v="26928"/>
    <x v="1"/>
    <x v="1"/>
    <n v="30000"/>
    <n v="1"/>
    <x v="0"/>
    <x v="1"/>
    <s v="Yes"/>
    <n v="0"/>
    <x v="0"/>
    <s v="Europe"/>
    <n v="62"/>
    <x v="0"/>
    <x v="1"/>
  </r>
  <r>
    <n v="20897"/>
    <x v="0"/>
    <x v="0"/>
    <n v="30000"/>
    <n v="1"/>
    <x v="0"/>
    <x v="0"/>
    <s v="Yes"/>
    <n v="2"/>
    <x v="0"/>
    <s v="Europe"/>
    <n v="40"/>
    <x v="1"/>
    <x v="0"/>
  </r>
  <r>
    <n v="28207"/>
    <x v="0"/>
    <x v="1"/>
    <n v="80000"/>
    <n v="4"/>
    <x v="4"/>
    <x v="4"/>
    <s v="Yes"/>
    <n v="1"/>
    <x v="0"/>
    <s v="Pacific"/>
    <n v="36"/>
    <x v="0"/>
    <x v="1"/>
  </r>
  <r>
    <n v="25923"/>
    <x v="1"/>
    <x v="1"/>
    <n v="10000"/>
    <n v="2"/>
    <x v="3"/>
    <x v="1"/>
    <s v="Yes"/>
    <n v="2"/>
    <x v="2"/>
    <s v="Pacific"/>
    <n v="58"/>
    <x v="0"/>
    <x v="0"/>
  </r>
  <r>
    <n v="11000"/>
    <x v="0"/>
    <x v="1"/>
    <n v="90000"/>
    <n v="2"/>
    <x v="0"/>
    <x v="2"/>
    <s v="Yes"/>
    <n v="0"/>
    <x v="3"/>
    <s v="Pacific"/>
    <n v="40"/>
    <x v="0"/>
    <x v="1"/>
  </r>
  <r>
    <n v="20974"/>
    <x v="0"/>
    <x v="1"/>
    <n v="10000"/>
    <n v="2"/>
    <x v="0"/>
    <x v="1"/>
    <s v="Yes"/>
    <n v="1"/>
    <x v="0"/>
    <s v="Europe"/>
    <n v="66"/>
    <x v="0"/>
    <x v="0"/>
  </r>
  <r>
    <n v="28758"/>
    <x v="0"/>
    <x v="1"/>
    <n v="40000"/>
    <n v="2"/>
    <x v="1"/>
    <x v="1"/>
    <s v="Yes"/>
    <n v="1"/>
    <x v="3"/>
    <s v="Europe"/>
    <n v="35"/>
    <x v="0"/>
    <x v="1"/>
  </r>
  <r>
    <n v="11381"/>
    <x v="0"/>
    <x v="0"/>
    <n v="20000"/>
    <n v="2"/>
    <x v="1"/>
    <x v="3"/>
    <s v="Yes"/>
    <n v="1"/>
    <x v="1"/>
    <s v="Europe"/>
    <n v="47"/>
    <x v="0"/>
    <x v="1"/>
  </r>
  <r>
    <n v="17522"/>
    <x v="0"/>
    <x v="1"/>
    <n v="120000"/>
    <n v="4"/>
    <x v="0"/>
    <x v="4"/>
    <s v="Yes"/>
    <n v="1"/>
    <x v="1"/>
    <s v="Pacific"/>
    <n v="47"/>
    <x v="0"/>
    <x v="0"/>
  </r>
  <r>
    <n v="21207"/>
    <x v="0"/>
    <x v="1"/>
    <n v="60000"/>
    <n v="1"/>
    <x v="1"/>
    <x v="0"/>
    <s v="Yes"/>
    <n v="1"/>
    <x v="2"/>
    <s v="Pacific"/>
    <n v="46"/>
    <x v="0"/>
    <x v="0"/>
  </r>
  <r>
    <n v="28102"/>
    <x v="0"/>
    <x v="1"/>
    <n v="20000"/>
    <n v="4"/>
    <x v="2"/>
    <x v="0"/>
    <s v="Yes"/>
    <n v="2"/>
    <x v="2"/>
    <s v="Pacific"/>
    <n v="58"/>
    <x v="0"/>
    <x v="1"/>
  </r>
  <r>
    <n v="23105"/>
    <x v="1"/>
    <x v="1"/>
    <n v="40000"/>
    <n v="3"/>
    <x v="3"/>
    <x v="1"/>
    <s v="No"/>
    <n v="2"/>
    <x v="2"/>
    <s v="Pacific"/>
    <n v="52"/>
    <x v="2"/>
    <x v="1"/>
  </r>
  <r>
    <n v="18740"/>
    <x v="0"/>
    <x v="1"/>
    <n v="80000"/>
    <n v="5"/>
    <x v="0"/>
    <x v="2"/>
    <s v="No"/>
    <n v="1"/>
    <x v="0"/>
    <s v="Pacific"/>
    <n v="47"/>
    <x v="0"/>
    <x v="1"/>
  </r>
  <r>
    <n v="21213"/>
    <x v="1"/>
    <x v="1"/>
    <n v="70000"/>
    <n v="0"/>
    <x v="0"/>
    <x v="2"/>
    <s v="No"/>
    <n v="1"/>
    <x v="2"/>
    <s v="Pacific"/>
    <n v="41"/>
    <x v="0"/>
    <x v="0"/>
  </r>
  <r>
    <n v="17352"/>
    <x v="0"/>
    <x v="1"/>
    <n v="50000"/>
    <n v="2"/>
    <x v="4"/>
    <x v="4"/>
    <s v="Yes"/>
    <n v="1"/>
    <x v="2"/>
    <s v="Pacific"/>
    <n v="64"/>
    <x v="1"/>
    <x v="1"/>
  </r>
  <r>
    <n v="14154"/>
    <x v="0"/>
    <x v="1"/>
    <n v="30000"/>
    <n v="0"/>
    <x v="0"/>
    <x v="1"/>
    <s v="Yes"/>
    <n v="0"/>
    <x v="0"/>
    <s v="Europe"/>
    <n v="35"/>
    <x v="0"/>
    <x v="1"/>
  </r>
  <r>
    <n v="19066"/>
    <x v="0"/>
    <x v="1"/>
    <n v="130000"/>
    <n v="4"/>
    <x v="1"/>
    <x v="2"/>
    <s v="No"/>
    <n v="3"/>
    <x v="4"/>
    <s v="Europe"/>
    <n v="54"/>
    <x v="2"/>
    <x v="0"/>
  </r>
  <r>
    <n v="11386"/>
    <x v="0"/>
    <x v="0"/>
    <n v="30000"/>
    <n v="3"/>
    <x v="0"/>
    <x v="1"/>
    <s v="Yes"/>
    <n v="0"/>
    <x v="0"/>
    <s v="Europe"/>
    <n v="45"/>
    <x v="0"/>
    <x v="0"/>
  </r>
  <r>
    <n v="20228"/>
    <x v="0"/>
    <x v="1"/>
    <n v="100000"/>
    <n v="0"/>
    <x v="4"/>
    <x v="4"/>
    <s v="Yes"/>
    <n v="0"/>
    <x v="1"/>
    <s v="Pacific"/>
    <n v="40"/>
    <x v="0"/>
    <x v="1"/>
  </r>
  <r>
    <n v="16675"/>
    <x v="1"/>
    <x v="0"/>
    <n v="160000"/>
    <n v="0"/>
    <x v="4"/>
    <x v="4"/>
    <s v="No"/>
    <n v="3"/>
    <x v="0"/>
    <s v="Pacific"/>
    <n v="47"/>
    <x v="0"/>
    <x v="1"/>
  </r>
  <r>
    <n v="16410"/>
    <x v="1"/>
    <x v="0"/>
    <n v="10000"/>
    <n v="4"/>
    <x v="3"/>
    <x v="3"/>
    <s v="Yes"/>
    <n v="2"/>
    <x v="0"/>
    <s v="Europe"/>
    <n v="41"/>
    <x v="0"/>
    <x v="1"/>
  </r>
  <r>
    <n v="27760"/>
    <x v="1"/>
    <x v="0"/>
    <n v="40000"/>
    <n v="0"/>
    <x v="4"/>
    <x v="1"/>
    <s v="No"/>
    <n v="0"/>
    <x v="0"/>
    <s v="Europe"/>
    <n v="37"/>
    <x v="0"/>
    <x v="1"/>
  </r>
  <r>
    <n v="22930"/>
    <x v="0"/>
    <x v="1"/>
    <n v="90000"/>
    <n v="4"/>
    <x v="0"/>
    <x v="2"/>
    <s v="Yes"/>
    <n v="0"/>
    <x v="3"/>
    <s v="Pacific"/>
    <n v="38"/>
    <x v="0"/>
    <x v="1"/>
  </r>
  <r>
    <n v="23780"/>
    <x v="1"/>
    <x v="1"/>
    <n v="40000"/>
    <n v="2"/>
    <x v="1"/>
    <x v="1"/>
    <s v="No"/>
    <n v="2"/>
    <x v="0"/>
    <s v="Europe"/>
    <n v="36"/>
    <x v="0"/>
    <x v="1"/>
  </r>
  <r>
    <n v="20994"/>
    <x v="0"/>
    <x v="0"/>
    <n v="20000"/>
    <n v="0"/>
    <x v="0"/>
    <x v="1"/>
    <s v="No"/>
    <n v="0"/>
    <x v="0"/>
    <s v="Pacific"/>
    <n v="26"/>
    <x v="1"/>
    <x v="1"/>
  </r>
  <r>
    <n v="28379"/>
    <x v="0"/>
    <x v="1"/>
    <n v="30000"/>
    <n v="1"/>
    <x v="0"/>
    <x v="0"/>
    <s v="Yes"/>
    <n v="2"/>
    <x v="0"/>
    <s v="Europe"/>
    <n v="40"/>
    <x v="2"/>
    <x v="0"/>
  </r>
  <r>
    <n v="14865"/>
    <x v="1"/>
    <x v="1"/>
    <n v="40000"/>
    <n v="2"/>
    <x v="1"/>
    <x v="1"/>
    <s v="Yes"/>
    <n v="2"/>
    <x v="3"/>
    <s v="Europe"/>
    <n v="36"/>
    <x v="0"/>
    <x v="0"/>
  </r>
  <r>
    <n v="12663"/>
    <x v="0"/>
    <x v="0"/>
    <n v="90000"/>
    <n v="5"/>
    <x v="3"/>
    <x v="0"/>
    <s v="Yes"/>
    <n v="2"/>
    <x v="4"/>
    <s v="Europe"/>
    <n v="59"/>
    <x v="0"/>
    <x v="0"/>
  </r>
  <r>
    <n v="24898"/>
    <x v="1"/>
    <x v="0"/>
    <n v="80000"/>
    <n v="0"/>
    <x v="0"/>
    <x v="2"/>
    <s v="Yes"/>
    <n v="3"/>
    <x v="4"/>
    <s v="Pacific"/>
    <n v="32"/>
    <x v="0"/>
    <x v="0"/>
  </r>
  <r>
    <n v="19508"/>
    <x v="0"/>
    <x v="1"/>
    <n v="10000"/>
    <n v="0"/>
    <x v="3"/>
    <x v="3"/>
    <s v="No"/>
    <n v="2"/>
    <x v="0"/>
    <s v="Europe"/>
    <n v="30"/>
    <x v="0"/>
    <x v="0"/>
  </r>
  <r>
    <n v="11489"/>
    <x v="1"/>
    <x v="0"/>
    <n v="20000"/>
    <n v="0"/>
    <x v="3"/>
    <x v="3"/>
    <s v="No"/>
    <n v="2"/>
    <x v="3"/>
    <s v="Europe"/>
    <n v="35"/>
    <x v="0"/>
    <x v="1"/>
  </r>
  <r>
    <n v="18160"/>
    <x v="0"/>
    <x v="1"/>
    <n v="130000"/>
    <n v="3"/>
    <x v="2"/>
    <x v="2"/>
    <s v="Yes"/>
    <n v="4"/>
    <x v="2"/>
    <s v="Europe"/>
    <n v="51"/>
    <x v="0"/>
    <x v="1"/>
  </r>
  <r>
    <n v="25241"/>
    <x v="0"/>
    <x v="1"/>
    <n v="90000"/>
    <n v="2"/>
    <x v="0"/>
    <x v="2"/>
    <s v="Yes"/>
    <n v="1"/>
    <x v="2"/>
    <s v="Pacific"/>
    <n v="47"/>
    <x v="0"/>
    <x v="0"/>
  </r>
  <r>
    <n v="24369"/>
    <x v="0"/>
    <x v="1"/>
    <n v="80000"/>
    <n v="5"/>
    <x v="4"/>
    <x v="4"/>
    <s v="No"/>
    <n v="2"/>
    <x v="0"/>
    <s v="Pacific"/>
    <n v="39"/>
    <x v="0"/>
    <x v="0"/>
  </r>
  <r>
    <n v="27165"/>
    <x v="1"/>
    <x v="1"/>
    <n v="20000"/>
    <n v="0"/>
    <x v="3"/>
    <x v="3"/>
    <s v="No"/>
    <n v="2"/>
    <x v="0"/>
    <s v="Europe"/>
    <n v="34"/>
    <x v="2"/>
    <x v="0"/>
  </r>
  <r>
    <n v="29424"/>
    <x v="0"/>
    <x v="1"/>
    <n v="10000"/>
    <n v="0"/>
    <x v="3"/>
    <x v="3"/>
    <s v="Yes"/>
    <n v="2"/>
    <x v="0"/>
    <s v="Europe"/>
    <n v="32"/>
    <x v="2"/>
    <x v="0"/>
  </r>
  <r>
    <n v="15926"/>
    <x v="1"/>
    <x v="0"/>
    <n v="120000"/>
    <n v="3"/>
    <x v="2"/>
    <x v="2"/>
    <s v="Yes"/>
    <n v="4"/>
    <x v="2"/>
    <s v="Europe"/>
    <n v="50"/>
    <x v="0"/>
    <x v="1"/>
  </r>
  <r>
    <n v="14554"/>
    <x v="0"/>
    <x v="1"/>
    <n v="20000"/>
    <n v="1"/>
    <x v="0"/>
    <x v="1"/>
    <s v="Yes"/>
    <n v="0"/>
    <x v="0"/>
    <s v="Europe"/>
    <n v="66"/>
    <x v="0"/>
    <x v="0"/>
  </r>
  <r>
    <n v="16468"/>
    <x v="1"/>
    <x v="1"/>
    <n v="30000"/>
    <n v="0"/>
    <x v="1"/>
    <x v="1"/>
    <s v="Yes"/>
    <n v="1"/>
    <x v="1"/>
    <s v="Europe"/>
    <n v="30"/>
    <x v="0"/>
    <x v="0"/>
  </r>
  <r>
    <n v="19174"/>
    <x v="1"/>
    <x v="0"/>
    <n v="30000"/>
    <n v="0"/>
    <x v="2"/>
    <x v="3"/>
    <s v="No"/>
    <n v="1"/>
    <x v="1"/>
    <s v="Europe"/>
    <n v="32"/>
    <x v="0"/>
    <x v="1"/>
  </r>
  <r>
    <n v="19183"/>
    <x v="1"/>
    <x v="1"/>
    <n v="10000"/>
    <n v="0"/>
    <x v="3"/>
    <x v="3"/>
    <s v="Yes"/>
    <n v="2"/>
    <x v="3"/>
    <s v="Europe"/>
    <n v="35"/>
    <x v="0"/>
    <x v="0"/>
  </r>
  <r>
    <n v="13683"/>
    <x v="1"/>
    <x v="0"/>
    <n v="30000"/>
    <n v="0"/>
    <x v="2"/>
    <x v="3"/>
    <s v="No"/>
    <n v="1"/>
    <x v="1"/>
    <s v="Europe"/>
    <n v="32"/>
    <x v="0"/>
    <x v="0"/>
  </r>
  <r>
    <n v="17848"/>
    <x v="1"/>
    <x v="1"/>
    <n v="30000"/>
    <n v="0"/>
    <x v="1"/>
    <x v="1"/>
    <s v="No"/>
    <n v="1"/>
    <x v="1"/>
    <s v="Europe"/>
    <n v="31"/>
    <x v="0"/>
    <x v="1"/>
  </r>
  <r>
    <n v="17894"/>
    <x v="0"/>
    <x v="0"/>
    <n v="20000"/>
    <n v="1"/>
    <x v="0"/>
    <x v="1"/>
    <s v="Yes"/>
    <n v="0"/>
    <x v="0"/>
    <s v="Europe"/>
    <n v="50"/>
    <x v="1"/>
    <x v="1"/>
  </r>
  <r>
    <n v="25651"/>
    <x v="0"/>
    <x v="1"/>
    <n v="40000"/>
    <n v="1"/>
    <x v="0"/>
    <x v="0"/>
    <s v="No"/>
    <n v="0"/>
    <x v="0"/>
    <s v="Europe"/>
    <n v="43"/>
    <x v="2"/>
    <x v="1"/>
  </r>
  <r>
    <n v="22936"/>
    <x v="1"/>
    <x v="0"/>
    <n v="60000"/>
    <n v="1"/>
    <x v="1"/>
    <x v="0"/>
    <s v="No"/>
    <n v="1"/>
    <x v="0"/>
    <s v="Pacific"/>
    <n v="45"/>
    <x v="0"/>
    <x v="1"/>
  </r>
  <r>
    <n v="23915"/>
    <x v="0"/>
    <x v="1"/>
    <n v="20000"/>
    <n v="2"/>
    <x v="2"/>
    <x v="3"/>
    <s v="Yes"/>
    <n v="2"/>
    <x v="0"/>
    <s v="Europe"/>
    <n v="42"/>
    <x v="2"/>
    <x v="0"/>
  </r>
  <r>
    <n v="24121"/>
    <x v="1"/>
    <x v="0"/>
    <n v="30000"/>
    <n v="0"/>
    <x v="1"/>
    <x v="1"/>
    <s v="No"/>
    <n v="1"/>
    <x v="0"/>
    <s v="Europe"/>
    <n v="29"/>
    <x v="0"/>
    <x v="1"/>
  </r>
  <r>
    <n v="27878"/>
    <x v="1"/>
    <x v="1"/>
    <n v="20000"/>
    <n v="0"/>
    <x v="1"/>
    <x v="3"/>
    <s v="No"/>
    <n v="0"/>
    <x v="0"/>
    <s v="Pacific"/>
    <n v="28"/>
    <x v="1"/>
    <x v="1"/>
  </r>
  <r>
    <n v="13572"/>
    <x v="1"/>
    <x v="1"/>
    <n v="10000"/>
    <n v="3"/>
    <x v="2"/>
    <x v="3"/>
    <s v="Yes"/>
    <n v="0"/>
    <x v="0"/>
    <s v="Europe"/>
    <n v="37"/>
    <x v="0"/>
    <x v="1"/>
  </r>
  <r>
    <n v="27941"/>
    <x v="0"/>
    <x v="0"/>
    <n v="80000"/>
    <n v="4"/>
    <x v="1"/>
    <x v="2"/>
    <s v="Yes"/>
    <n v="2"/>
    <x v="1"/>
    <s v="Europe"/>
    <n v="53"/>
    <x v="0"/>
    <x v="0"/>
  </r>
  <r>
    <n v="26354"/>
    <x v="1"/>
    <x v="1"/>
    <n v="40000"/>
    <n v="0"/>
    <x v="4"/>
    <x v="1"/>
    <s v="No"/>
    <n v="0"/>
    <x v="0"/>
    <s v="Europe"/>
    <n v="38"/>
    <x v="0"/>
    <x v="1"/>
  </r>
  <r>
    <n v="14785"/>
    <x v="1"/>
    <x v="1"/>
    <n v="30000"/>
    <n v="1"/>
    <x v="0"/>
    <x v="1"/>
    <s v="No"/>
    <n v="1"/>
    <x v="3"/>
    <s v="Europe"/>
    <n v="39"/>
    <x v="0"/>
    <x v="0"/>
  </r>
  <r>
    <n v="17238"/>
    <x v="1"/>
    <x v="1"/>
    <n v="80000"/>
    <n v="0"/>
    <x v="0"/>
    <x v="2"/>
    <s v="Yes"/>
    <n v="3"/>
    <x v="4"/>
    <s v="Pacific"/>
    <n v="32"/>
    <x v="1"/>
    <x v="0"/>
  </r>
  <r>
    <n v="23608"/>
    <x v="0"/>
    <x v="0"/>
    <n v="150000"/>
    <n v="3"/>
    <x v="2"/>
    <x v="2"/>
    <s v="Yes"/>
    <n v="3"/>
    <x v="0"/>
    <s v="Europe"/>
    <n v="51"/>
    <x v="0"/>
    <x v="1"/>
  </r>
  <r>
    <n v="22538"/>
    <x v="1"/>
    <x v="0"/>
    <n v="10000"/>
    <n v="0"/>
    <x v="3"/>
    <x v="3"/>
    <s v="Yes"/>
    <n v="2"/>
    <x v="3"/>
    <s v="Europe"/>
    <n v="33"/>
    <x v="0"/>
    <x v="0"/>
  </r>
  <r>
    <n v="12332"/>
    <x v="0"/>
    <x v="1"/>
    <n v="90000"/>
    <n v="4"/>
    <x v="2"/>
    <x v="4"/>
    <s v="Yes"/>
    <n v="3"/>
    <x v="2"/>
    <s v="Europe"/>
    <n v="58"/>
    <x v="0"/>
    <x v="1"/>
  </r>
  <r>
    <n v="17230"/>
    <x v="0"/>
    <x v="1"/>
    <n v="80000"/>
    <n v="0"/>
    <x v="0"/>
    <x v="2"/>
    <s v="Yes"/>
    <n v="3"/>
    <x v="4"/>
    <s v="Pacific"/>
    <n v="30"/>
    <x v="0"/>
    <x v="0"/>
  </r>
  <r>
    <n v="13082"/>
    <x v="1"/>
    <x v="1"/>
    <n v="130000"/>
    <n v="0"/>
    <x v="4"/>
    <x v="4"/>
    <s v="Yes"/>
    <n v="0"/>
    <x v="1"/>
    <s v="Pacific"/>
    <n v="48"/>
    <x v="2"/>
    <x v="1"/>
  </r>
  <r>
    <n v="22518"/>
    <x v="1"/>
    <x v="0"/>
    <n v="30000"/>
    <n v="3"/>
    <x v="1"/>
    <x v="1"/>
    <s v="No"/>
    <n v="2"/>
    <x v="0"/>
    <s v="Europe"/>
    <n v="27"/>
    <x v="0"/>
    <x v="1"/>
  </r>
  <r>
    <n v="13687"/>
    <x v="0"/>
    <x v="1"/>
    <n v="40000"/>
    <n v="1"/>
    <x v="0"/>
    <x v="0"/>
    <s v="Yes"/>
    <n v="1"/>
    <x v="0"/>
    <s v="Europe"/>
    <n v="33"/>
    <x v="1"/>
    <x v="1"/>
  </r>
  <r>
    <n v="23571"/>
    <x v="0"/>
    <x v="0"/>
    <n v="40000"/>
    <n v="2"/>
    <x v="0"/>
    <x v="4"/>
    <s v="Yes"/>
    <n v="2"/>
    <x v="0"/>
    <s v="Pacific"/>
    <n v="66"/>
    <x v="1"/>
    <x v="1"/>
  </r>
  <r>
    <n v="19305"/>
    <x v="1"/>
    <x v="0"/>
    <n v="10000"/>
    <n v="2"/>
    <x v="2"/>
    <x v="3"/>
    <s v="Yes"/>
    <n v="1"/>
    <x v="0"/>
    <s v="Europe"/>
    <n v="38"/>
    <x v="0"/>
    <x v="1"/>
  </r>
  <r>
    <n v="22636"/>
    <x v="1"/>
    <x v="0"/>
    <n v="40000"/>
    <n v="0"/>
    <x v="0"/>
    <x v="1"/>
    <s v="No"/>
    <n v="0"/>
    <x v="0"/>
    <s v="Europe"/>
    <n v="38"/>
    <x v="1"/>
    <x v="1"/>
  </r>
  <r>
    <n v="17310"/>
    <x v="0"/>
    <x v="1"/>
    <n v="60000"/>
    <n v="1"/>
    <x v="1"/>
    <x v="0"/>
    <s v="Yes"/>
    <n v="1"/>
    <x v="0"/>
    <s v="Pacific"/>
    <n v="45"/>
    <x v="0"/>
    <x v="1"/>
  </r>
  <r>
    <n v="12133"/>
    <x v="0"/>
    <x v="0"/>
    <n v="130000"/>
    <n v="3"/>
    <x v="1"/>
    <x v="2"/>
    <s v="Yes"/>
    <n v="3"/>
    <x v="2"/>
    <s v="Europe"/>
    <n v="50"/>
    <x v="2"/>
    <x v="1"/>
  </r>
  <r>
    <n v="25918"/>
    <x v="1"/>
    <x v="0"/>
    <n v="30000"/>
    <n v="2"/>
    <x v="1"/>
    <x v="1"/>
    <s v="No"/>
    <n v="2"/>
    <x v="2"/>
    <s v="Pacific"/>
    <n v="60"/>
    <x v="1"/>
    <x v="1"/>
  </r>
  <r>
    <n v="25752"/>
    <x v="1"/>
    <x v="0"/>
    <n v="20000"/>
    <n v="2"/>
    <x v="1"/>
    <x v="3"/>
    <s v="No"/>
    <n v="1"/>
    <x v="0"/>
    <s v="Europe"/>
    <n v="53"/>
    <x v="0"/>
    <x v="1"/>
  </r>
  <r>
    <n v="17324"/>
    <x v="0"/>
    <x v="0"/>
    <n v="100000"/>
    <n v="4"/>
    <x v="0"/>
    <x v="2"/>
    <s v="Yes"/>
    <n v="1"/>
    <x v="4"/>
    <s v="Pacific"/>
    <n v="46"/>
    <x v="0"/>
    <x v="0"/>
  </r>
  <r>
    <n v="22918"/>
    <x v="1"/>
    <x v="1"/>
    <n v="80000"/>
    <n v="5"/>
    <x v="4"/>
    <x v="4"/>
    <s v="Yes"/>
    <n v="3"/>
    <x v="0"/>
    <s v="Pacific"/>
    <n v="50"/>
    <x v="2"/>
    <x v="0"/>
  </r>
  <r>
    <n v="12510"/>
    <x v="0"/>
    <x v="1"/>
    <n v="40000"/>
    <n v="1"/>
    <x v="0"/>
    <x v="0"/>
    <s v="Yes"/>
    <n v="1"/>
    <x v="0"/>
    <s v="Europe"/>
    <n v="43"/>
    <x v="0"/>
    <x v="1"/>
  </r>
  <r>
    <n v="25512"/>
    <x v="1"/>
    <x v="1"/>
    <n v="20000"/>
    <n v="0"/>
    <x v="2"/>
    <x v="3"/>
    <s v="No"/>
    <n v="1"/>
    <x v="1"/>
    <s v="Europe"/>
    <n v="30"/>
    <x v="0"/>
    <x v="0"/>
  </r>
  <r>
    <n v="16179"/>
    <x v="1"/>
    <x v="0"/>
    <n v="80000"/>
    <n v="5"/>
    <x v="0"/>
    <x v="2"/>
    <s v="Yes"/>
    <n v="4"/>
    <x v="3"/>
    <s v="Pacific"/>
    <n v="38"/>
    <x v="0"/>
    <x v="0"/>
  </r>
  <r>
    <n v="15628"/>
    <x v="0"/>
    <x v="0"/>
    <n v="40000"/>
    <n v="1"/>
    <x v="0"/>
    <x v="0"/>
    <s v="Yes"/>
    <n v="1"/>
    <x v="0"/>
    <s v="Europe"/>
    <n v="89"/>
    <x v="1"/>
    <x v="0"/>
  </r>
  <r>
    <n v="20977"/>
    <x v="0"/>
    <x v="1"/>
    <n v="20000"/>
    <n v="1"/>
    <x v="0"/>
    <x v="1"/>
    <s v="Yes"/>
    <n v="0"/>
    <x v="0"/>
    <s v="Europe"/>
    <n v="64"/>
    <x v="0"/>
    <x v="1"/>
  </r>
  <r>
    <n v="18140"/>
    <x v="0"/>
    <x v="1"/>
    <n v="130000"/>
    <n v="3"/>
    <x v="1"/>
    <x v="2"/>
    <s v="No"/>
    <n v="3"/>
    <x v="2"/>
    <s v="Europe"/>
    <n v="51"/>
    <x v="0"/>
    <x v="1"/>
  </r>
  <r>
    <n v="20417"/>
    <x v="0"/>
    <x v="1"/>
    <n v="30000"/>
    <n v="3"/>
    <x v="1"/>
    <x v="1"/>
    <s v="No"/>
    <n v="2"/>
    <x v="2"/>
    <s v="Pacific"/>
    <n v="56"/>
    <x v="0"/>
    <x v="0"/>
  </r>
  <r>
    <n v="18267"/>
    <x v="0"/>
    <x v="1"/>
    <n v="60000"/>
    <n v="3"/>
    <x v="0"/>
    <x v="2"/>
    <s v="Yes"/>
    <n v="2"/>
    <x v="2"/>
    <s v="Pacific"/>
    <n v="43"/>
    <x v="0"/>
    <x v="0"/>
  </r>
  <r>
    <n v="13620"/>
    <x v="1"/>
    <x v="1"/>
    <n v="70000"/>
    <n v="0"/>
    <x v="0"/>
    <x v="2"/>
    <s v="No"/>
    <n v="3"/>
    <x v="4"/>
    <s v="Pacific"/>
    <n v="30"/>
    <x v="0"/>
    <x v="1"/>
  </r>
  <r>
    <n v="22974"/>
    <x v="0"/>
    <x v="0"/>
    <n v="30000"/>
    <n v="2"/>
    <x v="1"/>
    <x v="1"/>
    <s v="Yes"/>
    <n v="2"/>
    <x v="2"/>
    <s v="Pacific"/>
    <n v="69"/>
    <x v="0"/>
    <x v="0"/>
  </r>
  <r>
    <n v="13586"/>
    <x v="0"/>
    <x v="1"/>
    <n v="80000"/>
    <n v="4"/>
    <x v="1"/>
    <x v="2"/>
    <s v="Yes"/>
    <n v="2"/>
    <x v="4"/>
    <s v="Europe"/>
    <n v="53"/>
    <x v="0"/>
    <x v="0"/>
  </r>
  <r>
    <n v="17978"/>
    <x v="0"/>
    <x v="1"/>
    <n v="40000"/>
    <n v="0"/>
    <x v="4"/>
    <x v="1"/>
    <s v="Yes"/>
    <n v="0"/>
    <x v="0"/>
    <s v="Europe"/>
    <n v="37"/>
    <x v="0"/>
    <x v="1"/>
  </r>
  <r>
    <n v="12581"/>
    <x v="1"/>
    <x v="0"/>
    <n v="10000"/>
    <n v="0"/>
    <x v="1"/>
    <x v="3"/>
    <s v="No"/>
    <n v="1"/>
    <x v="0"/>
    <s v="Pacific"/>
    <n v="28"/>
    <x v="1"/>
    <x v="1"/>
  </r>
  <r>
    <n v="18018"/>
    <x v="1"/>
    <x v="1"/>
    <n v="30000"/>
    <n v="3"/>
    <x v="1"/>
    <x v="1"/>
    <s v="Yes"/>
    <n v="0"/>
    <x v="0"/>
    <s v="Europe"/>
    <n v="43"/>
    <x v="0"/>
    <x v="0"/>
  </r>
  <r>
    <n v="28957"/>
    <x v="1"/>
    <x v="0"/>
    <n v="120000"/>
    <n v="0"/>
    <x v="3"/>
    <x v="2"/>
    <s v="Yes"/>
    <n v="4"/>
    <x v="4"/>
    <s v="Pacific"/>
    <n v="34"/>
    <x v="0"/>
    <x v="1"/>
  </r>
  <r>
    <n v="13690"/>
    <x v="1"/>
    <x v="0"/>
    <n v="20000"/>
    <n v="0"/>
    <x v="3"/>
    <x v="3"/>
    <s v="No"/>
    <n v="2"/>
    <x v="3"/>
    <s v="Europe"/>
    <n v="34"/>
    <x v="0"/>
    <x v="1"/>
  </r>
  <r>
    <n v="12568"/>
    <x v="0"/>
    <x v="0"/>
    <n v="30000"/>
    <n v="1"/>
    <x v="0"/>
    <x v="1"/>
    <s v="Yes"/>
    <n v="0"/>
    <x v="0"/>
    <s v="Europe"/>
    <n v="64"/>
    <x v="1"/>
    <x v="0"/>
  </r>
  <r>
    <n v="13122"/>
    <x v="0"/>
    <x v="0"/>
    <n v="80000"/>
    <n v="0"/>
    <x v="0"/>
    <x v="2"/>
    <s v="Yes"/>
    <n v="1"/>
    <x v="3"/>
    <s v="Pacific"/>
    <n v="41"/>
    <x v="0"/>
    <x v="1"/>
  </r>
  <r>
    <n v="21184"/>
    <x v="1"/>
    <x v="1"/>
    <n v="70000"/>
    <n v="0"/>
    <x v="0"/>
    <x v="2"/>
    <s v="No"/>
    <n v="1"/>
    <x v="2"/>
    <s v="Pacific"/>
    <n v="38"/>
    <x v="0"/>
    <x v="0"/>
  </r>
  <r>
    <n v="26150"/>
    <x v="1"/>
    <x v="0"/>
    <n v="70000"/>
    <n v="0"/>
    <x v="0"/>
    <x v="2"/>
    <s v="No"/>
    <n v="1"/>
    <x v="0"/>
    <s v="Pacific"/>
    <n v="41"/>
    <x v="0"/>
    <x v="1"/>
  </r>
  <r>
    <n v="24151"/>
    <x v="1"/>
    <x v="1"/>
    <n v="20000"/>
    <n v="1"/>
    <x v="0"/>
    <x v="1"/>
    <s v="No"/>
    <n v="0"/>
    <x v="0"/>
    <s v="Europe"/>
    <n v="51"/>
    <x v="0"/>
    <x v="0"/>
  </r>
  <r>
    <n v="23962"/>
    <x v="0"/>
    <x v="0"/>
    <n v="10000"/>
    <n v="0"/>
    <x v="3"/>
    <x v="3"/>
    <s v="Yes"/>
    <n v="2"/>
    <x v="3"/>
    <s v="Europe"/>
    <n v="32"/>
    <x v="0"/>
    <x v="0"/>
  </r>
  <r>
    <n v="17793"/>
    <x v="0"/>
    <x v="0"/>
    <n v="40000"/>
    <n v="0"/>
    <x v="0"/>
    <x v="1"/>
    <s v="Yes"/>
    <n v="0"/>
    <x v="0"/>
    <s v="Europe"/>
    <n v="38"/>
    <x v="0"/>
    <x v="1"/>
  </r>
  <r>
    <n v="14926"/>
    <x v="0"/>
    <x v="1"/>
    <n v="30000"/>
    <n v="1"/>
    <x v="0"/>
    <x v="1"/>
    <s v="Yes"/>
    <n v="0"/>
    <x v="0"/>
    <s v="Europe"/>
    <n v="38"/>
    <x v="0"/>
    <x v="1"/>
  </r>
  <r>
    <n v="16163"/>
    <x v="1"/>
    <x v="1"/>
    <n v="60000"/>
    <n v="2"/>
    <x v="0"/>
    <x v="2"/>
    <s v="Yes"/>
    <n v="1"/>
    <x v="1"/>
    <s v="Pacific"/>
    <n v="38"/>
    <x v="0"/>
    <x v="1"/>
  </r>
  <r>
    <n v="21365"/>
    <x v="0"/>
    <x v="0"/>
    <n v="10000"/>
    <n v="2"/>
    <x v="3"/>
    <x v="1"/>
    <s v="Yes"/>
    <n v="2"/>
    <x v="2"/>
    <s v="Pacific"/>
    <n v="58"/>
    <x v="0"/>
    <x v="0"/>
  </r>
  <r>
    <n v="27771"/>
    <x v="1"/>
    <x v="1"/>
    <n v="30000"/>
    <n v="1"/>
    <x v="0"/>
    <x v="1"/>
    <s v="Yes"/>
    <n v="1"/>
    <x v="3"/>
    <s v="Europe"/>
    <n v="39"/>
    <x v="0"/>
    <x v="1"/>
  </r>
  <r>
    <n v="26167"/>
    <x v="1"/>
    <x v="0"/>
    <n v="40000"/>
    <n v="2"/>
    <x v="0"/>
    <x v="4"/>
    <s v="No"/>
    <n v="1"/>
    <x v="2"/>
    <s v="Pacific"/>
    <n v="53"/>
    <x v="0"/>
    <x v="1"/>
  </r>
  <r>
    <n v="25792"/>
    <x v="1"/>
    <x v="0"/>
    <n v="110000"/>
    <n v="3"/>
    <x v="0"/>
    <x v="4"/>
    <s v="Yes"/>
    <n v="4"/>
    <x v="4"/>
    <s v="Europe"/>
    <n v="53"/>
    <x v="1"/>
    <x v="0"/>
  </r>
  <r>
    <n v="11555"/>
    <x v="0"/>
    <x v="0"/>
    <n v="40000"/>
    <n v="1"/>
    <x v="0"/>
    <x v="1"/>
    <s v="Yes"/>
    <n v="0"/>
    <x v="0"/>
    <s v="Europe"/>
    <n v="80"/>
    <x v="0"/>
    <x v="0"/>
  </r>
  <r>
    <n v="22381"/>
    <x v="0"/>
    <x v="1"/>
    <n v="10000"/>
    <n v="1"/>
    <x v="4"/>
    <x v="3"/>
    <s v="Yes"/>
    <n v="0"/>
    <x v="0"/>
    <s v="Europe"/>
    <n v="44"/>
    <x v="0"/>
    <x v="0"/>
  </r>
  <r>
    <n v="17882"/>
    <x v="0"/>
    <x v="1"/>
    <n v="20000"/>
    <n v="1"/>
    <x v="4"/>
    <x v="1"/>
    <s v="Yes"/>
    <n v="0"/>
    <x v="0"/>
    <s v="Europe"/>
    <n v="44"/>
    <x v="0"/>
    <x v="0"/>
  </r>
  <r>
    <n v="22174"/>
    <x v="0"/>
    <x v="1"/>
    <n v="30000"/>
    <n v="3"/>
    <x v="2"/>
    <x v="0"/>
    <s v="Yes"/>
    <n v="2"/>
    <x v="2"/>
    <s v="Pacific"/>
    <n v="54"/>
    <x v="1"/>
    <x v="1"/>
  </r>
  <r>
    <n v="22439"/>
    <x v="0"/>
    <x v="0"/>
    <n v="30000"/>
    <n v="0"/>
    <x v="0"/>
    <x v="1"/>
    <s v="Yes"/>
    <n v="0"/>
    <x v="0"/>
    <s v="Europe"/>
    <n v="37"/>
    <x v="0"/>
    <x v="1"/>
  </r>
  <r>
    <n v="18012"/>
    <x v="0"/>
    <x v="0"/>
    <n v="40000"/>
    <n v="1"/>
    <x v="0"/>
    <x v="0"/>
    <s v="Yes"/>
    <n v="0"/>
    <x v="0"/>
    <s v="Europe"/>
    <n v="41"/>
    <x v="0"/>
    <x v="0"/>
  </r>
  <r>
    <n v="27582"/>
    <x v="1"/>
    <x v="0"/>
    <n v="90000"/>
    <n v="2"/>
    <x v="0"/>
    <x v="2"/>
    <s v="No"/>
    <n v="0"/>
    <x v="0"/>
    <s v="Pacific"/>
    <n v="36"/>
    <x v="1"/>
    <x v="1"/>
  </r>
  <r>
    <n v="12744"/>
    <x v="1"/>
    <x v="0"/>
    <n v="40000"/>
    <n v="2"/>
    <x v="1"/>
    <x v="1"/>
    <s v="Yes"/>
    <n v="0"/>
    <x v="0"/>
    <s v="Europe"/>
    <n v="33"/>
    <x v="0"/>
    <x v="0"/>
  </r>
  <r>
    <n v="22821"/>
    <x v="0"/>
    <x v="0"/>
    <n v="130000"/>
    <n v="3"/>
    <x v="1"/>
    <x v="2"/>
    <s v="Yes"/>
    <n v="4"/>
    <x v="0"/>
    <s v="Europe"/>
    <n v="52"/>
    <x v="0"/>
    <x v="0"/>
  </r>
  <r>
    <n v="20171"/>
    <x v="0"/>
    <x v="0"/>
    <n v="20000"/>
    <n v="2"/>
    <x v="1"/>
    <x v="3"/>
    <s v="Yes"/>
    <n v="1"/>
    <x v="0"/>
    <s v="Europe"/>
    <n v="46"/>
    <x v="0"/>
    <x v="1"/>
  </r>
  <r>
    <n v="11116"/>
    <x v="0"/>
    <x v="1"/>
    <n v="70000"/>
    <n v="5"/>
    <x v="1"/>
    <x v="0"/>
    <s v="Yes"/>
    <n v="2"/>
    <x v="2"/>
    <s v="Pacific"/>
    <n v="43"/>
    <x v="0"/>
    <x v="0"/>
  </r>
  <r>
    <n v="20053"/>
    <x v="1"/>
    <x v="1"/>
    <n v="40000"/>
    <n v="2"/>
    <x v="1"/>
    <x v="1"/>
    <s v="Yes"/>
    <n v="0"/>
    <x v="0"/>
    <s v="Europe"/>
    <n v="34"/>
    <x v="1"/>
    <x v="0"/>
  </r>
  <r>
    <n v="25266"/>
    <x v="1"/>
    <x v="0"/>
    <n v="30000"/>
    <n v="2"/>
    <x v="1"/>
    <x v="1"/>
    <s v="No"/>
    <n v="2"/>
    <x v="2"/>
    <s v="Pacific"/>
    <n v="67"/>
    <x v="2"/>
    <x v="0"/>
  </r>
  <r>
    <n v="17960"/>
    <x v="0"/>
    <x v="0"/>
    <n v="40000"/>
    <n v="0"/>
    <x v="4"/>
    <x v="1"/>
    <s v="Yes"/>
    <n v="0"/>
    <x v="0"/>
    <s v="Europe"/>
    <n v="35"/>
    <x v="0"/>
    <x v="1"/>
  </r>
  <r>
    <n v="13961"/>
    <x v="0"/>
    <x v="0"/>
    <n v="80000"/>
    <n v="5"/>
    <x v="4"/>
    <x v="4"/>
    <s v="Yes"/>
    <n v="3"/>
    <x v="0"/>
    <s v="Pacific"/>
    <n v="40"/>
    <x v="0"/>
    <x v="0"/>
  </r>
  <r>
    <n v="11897"/>
    <x v="1"/>
    <x v="1"/>
    <n v="60000"/>
    <n v="2"/>
    <x v="0"/>
    <x v="2"/>
    <s v="No"/>
    <n v="1"/>
    <x v="0"/>
    <s v="Pacific"/>
    <n v="37"/>
    <x v="0"/>
    <x v="1"/>
  </r>
  <r>
    <n v="11139"/>
    <x v="1"/>
    <x v="0"/>
    <n v="30000"/>
    <n v="2"/>
    <x v="1"/>
    <x v="1"/>
    <s v="No"/>
    <n v="2"/>
    <x v="2"/>
    <s v="Pacific"/>
    <n v="67"/>
    <x v="1"/>
    <x v="0"/>
  </r>
  <r>
    <n v="11576"/>
    <x v="0"/>
    <x v="1"/>
    <n v="30000"/>
    <n v="1"/>
    <x v="0"/>
    <x v="0"/>
    <s v="Yes"/>
    <n v="2"/>
    <x v="0"/>
    <s v="Europe"/>
    <n v="41"/>
    <x v="2"/>
    <x v="1"/>
  </r>
  <r>
    <n v="19255"/>
    <x v="1"/>
    <x v="1"/>
    <n v="10000"/>
    <n v="2"/>
    <x v="1"/>
    <x v="3"/>
    <s v="Yes"/>
    <n v="1"/>
    <x v="0"/>
    <s v="Europe"/>
    <n v="51"/>
    <x v="0"/>
    <x v="1"/>
  </r>
  <r>
    <n v="18153"/>
    <x v="0"/>
    <x v="0"/>
    <n v="100000"/>
    <n v="2"/>
    <x v="0"/>
    <x v="4"/>
    <s v="Yes"/>
    <n v="4"/>
    <x v="4"/>
    <s v="Europe"/>
    <n v="59"/>
    <x v="2"/>
    <x v="0"/>
  </r>
  <r>
    <n v="14547"/>
    <x v="0"/>
    <x v="1"/>
    <n v="10000"/>
    <n v="2"/>
    <x v="1"/>
    <x v="3"/>
    <s v="Yes"/>
    <n v="0"/>
    <x v="3"/>
    <s v="Europe"/>
    <n v="51"/>
    <x v="0"/>
    <x v="0"/>
  </r>
  <r>
    <n v="24901"/>
    <x v="1"/>
    <x v="1"/>
    <n v="110000"/>
    <n v="0"/>
    <x v="1"/>
    <x v="4"/>
    <s v="No"/>
    <n v="3"/>
    <x v="4"/>
    <s v="Pacific"/>
    <n v="32"/>
    <x v="1"/>
    <x v="1"/>
  </r>
  <r>
    <n v="27169"/>
    <x v="1"/>
    <x v="1"/>
    <n v="30000"/>
    <n v="0"/>
    <x v="2"/>
    <x v="3"/>
    <s v="Yes"/>
    <n v="1"/>
    <x v="1"/>
    <s v="Europe"/>
    <n v="34"/>
    <x v="0"/>
    <x v="1"/>
  </r>
  <r>
    <n v="14805"/>
    <x v="1"/>
    <x v="0"/>
    <n v="10000"/>
    <n v="3"/>
    <x v="3"/>
    <x v="3"/>
    <s v="Yes"/>
    <n v="2"/>
    <x v="0"/>
    <s v="Europe"/>
    <n v="43"/>
    <x v="2"/>
    <x v="0"/>
  </r>
  <r>
    <n v="15822"/>
    <x v="0"/>
    <x v="1"/>
    <n v="40000"/>
    <n v="2"/>
    <x v="0"/>
    <x v="4"/>
    <s v="Yes"/>
    <n v="2"/>
    <x v="0"/>
    <s v="Pacific"/>
    <n v="67"/>
    <x v="0"/>
    <x v="0"/>
  </r>
  <r>
    <n v="19389"/>
    <x v="1"/>
    <x v="1"/>
    <n v="30000"/>
    <n v="0"/>
    <x v="1"/>
    <x v="1"/>
    <s v="No"/>
    <n v="1"/>
    <x v="1"/>
    <s v="Europe"/>
    <n v="28"/>
    <x v="0"/>
    <x v="0"/>
  </r>
  <r>
    <n v="17048"/>
    <x v="1"/>
    <x v="0"/>
    <n v="90000"/>
    <n v="1"/>
    <x v="4"/>
    <x v="4"/>
    <s v="Yes"/>
    <n v="0"/>
    <x v="0"/>
    <s v="Pacific"/>
    <n v="36"/>
    <x v="0"/>
    <x v="1"/>
  </r>
  <r>
    <n v="22204"/>
    <x v="0"/>
    <x v="1"/>
    <n v="110000"/>
    <n v="4"/>
    <x v="0"/>
    <x v="4"/>
    <s v="Yes"/>
    <n v="3"/>
    <x v="1"/>
    <s v="Pacific"/>
    <n v="48"/>
    <x v="0"/>
    <x v="0"/>
  </r>
  <r>
    <n v="12718"/>
    <x v="1"/>
    <x v="0"/>
    <n v="30000"/>
    <n v="0"/>
    <x v="1"/>
    <x v="1"/>
    <s v="Yes"/>
    <n v="1"/>
    <x v="1"/>
    <s v="Europe"/>
    <n v="31"/>
    <x v="0"/>
    <x v="0"/>
  </r>
  <r>
    <n v="15019"/>
    <x v="1"/>
    <x v="0"/>
    <n v="30000"/>
    <n v="3"/>
    <x v="2"/>
    <x v="0"/>
    <s v="Yes"/>
    <n v="2"/>
    <x v="2"/>
    <s v="Pacific"/>
    <n v="55"/>
    <x v="0"/>
    <x v="0"/>
  </r>
  <r>
    <n v="28488"/>
    <x v="1"/>
    <x v="1"/>
    <n v="20000"/>
    <n v="0"/>
    <x v="1"/>
    <x v="3"/>
    <s v="Yes"/>
    <n v="0"/>
    <x v="0"/>
    <s v="Pacific"/>
    <n v="28"/>
    <x v="0"/>
    <x v="1"/>
  </r>
  <r>
    <n v="21891"/>
    <x v="0"/>
    <x v="0"/>
    <n v="110000"/>
    <n v="0"/>
    <x v="2"/>
    <x v="4"/>
    <s v="Yes"/>
    <n v="3"/>
    <x v="4"/>
    <s v="Pacific"/>
    <n v="34"/>
    <x v="0"/>
    <x v="1"/>
  </r>
  <r>
    <n v="27814"/>
    <x v="1"/>
    <x v="0"/>
    <n v="30000"/>
    <n v="3"/>
    <x v="1"/>
    <x v="1"/>
    <s v="No"/>
    <n v="1"/>
    <x v="0"/>
    <s v="Europe"/>
    <n v="26"/>
    <x v="0"/>
    <x v="0"/>
  </r>
  <r>
    <n v="22175"/>
    <x v="0"/>
    <x v="0"/>
    <n v="30000"/>
    <n v="3"/>
    <x v="2"/>
    <x v="0"/>
    <s v="Yes"/>
    <n v="2"/>
    <x v="2"/>
    <s v="Pacific"/>
    <n v="53"/>
    <x v="0"/>
    <x v="1"/>
  </r>
  <r>
    <n v="29447"/>
    <x v="1"/>
    <x v="0"/>
    <n v="10000"/>
    <n v="2"/>
    <x v="0"/>
    <x v="1"/>
    <s v="No"/>
    <n v="1"/>
    <x v="1"/>
    <s v="Europe"/>
    <n v="68"/>
    <x v="0"/>
    <x v="0"/>
  </r>
  <r>
    <n v="19784"/>
    <x v="0"/>
    <x v="0"/>
    <n v="80000"/>
    <n v="2"/>
    <x v="2"/>
    <x v="0"/>
    <s v="Yes"/>
    <n v="2"/>
    <x v="2"/>
    <s v="Pacific"/>
    <n v="50"/>
    <x v="0"/>
    <x v="1"/>
  </r>
  <r>
    <n v="27824"/>
    <x v="1"/>
    <x v="0"/>
    <n v="30000"/>
    <n v="3"/>
    <x v="1"/>
    <x v="1"/>
    <s v="Yes"/>
    <n v="2"/>
    <x v="0"/>
    <s v="Europe"/>
    <n v="28"/>
    <x v="0"/>
    <x v="1"/>
  </r>
  <r>
    <n v="24093"/>
    <x v="1"/>
    <x v="0"/>
    <n v="80000"/>
    <n v="0"/>
    <x v="4"/>
    <x v="0"/>
    <s v="No"/>
    <n v="0"/>
    <x v="0"/>
    <s v="Europe"/>
    <n v="40"/>
    <x v="0"/>
    <x v="1"/>
  </r>
  <r>
    <n v="19618"/>
    <x v="0"/>
    <x v="1"/>
    <n v="70000"/>
    <n v="5"/>
    <x v="1"/>
    <x v="0"/>
    <s v="Yes"/>
    <n v="2"/>
    <x v="0"/>
    <s v="Pacific"/>
    <n v="44"/>
    <x v="1"/>
    <x v="0"/>
  </r>
  <r>
    <n v="21561"/>
    <x v="1"/>
    <x v="1"/>
    <n v="90000"/>
    <n v="0"/>
    <x v="0"/>
    <x v="2"/>
    <s v="No"/>
    <n v="3"/>
    <x v="4"/>
    <s v="Pacific"/>
    <n v="34"/>
    <x v="0"/>
    <x v="1"/>
  </r>
  <r>
    <n v="11061"/>
    <x v="0"/>
    <x v="1"/>
    <n v="70000"/>
    <n v="2"/>
    <x v="1"/>
    <x v="0"/>
    <s v="Yes"/>
    <n v="2"/>
    <x v="2"/>
    <s v="Pacific"/>
    <n v="52"/>
    <x v="0"/>
    <x v="1"/>
  </r>
  <r>
    <n v="26651"/>
    <x v="1"/>
    <x v="1"/>
    <n v="80000"/>
    <n v="4"/>
    <x v="4"/>
    <x v="4"/>
    <s v="Yes"/>
    <n v="0"/>
    <x v="0"/>
    <s v="Pacific"/>
    <n v="36"/>
    <x v="0"/>
    <x v="1"/>
  </r>
  <r>
    <n v="21108"/>
    <x v="0"/>
    <x v="0"/>
    <n v="40000"/>
    <n v="1"/>
    <x v="0"/>
    <x v="0"/>
    <s v="Yes"/>
    <n v="1"/>
    <x v="0"/>
    <s v="Europe"/>
    <n v="43"/>
    <x v="0"/>
    <x v="1"/>
  </r>
  <r>
    <n v="12731"/>
    <x v="1"/>
    <x v="1"/>
    <n v="30000"/>
    <n v="0"/>
    <x v="2"/>
    <x v="3"/>
    <s v="No"/>
    <n v="1"/>
    <x v="3"/>
    <s v="Europe"/>
    <n v="32"/>
    <x v="1"/>
    <x v="0"/>
  </r>
  <r>
    <n v="25307"/>
    <x v="0"/>
    <x v="0"/>
    <n v="40000"/>
    <n v="1"/>
    <x v="0"/>
    <x v="0"/>
    <s v="Yes"/>
    <n v="1"/>
    <x v="3"/>
    <s v="Europe"/>
    <n v="32"/>
    <x v="0"/>
    <x v="1"/>
  </r>
  <r>
    <n v="14278"/>
    <x v="0"/>
    <x v="0"/>
    <n v="130000"/>
    <n v="0"/>
    <x v="4"/>
    <x v="4"/>
    <s v="Yes"/>
    <n v="1"/>
    <x v="4"/>
    <s v="Pacific"/>
    <n v="48"/>
    <x v="0"/>
    <x v="0"/>
  </r>
  <r>
    <n v="20711"/>
    <x v="0"/>
    <x v="0"/>
    <n v="40000"/>
    <n v="1"/>
    <x v="0"/>
    <x v="0"/>
    <s v="Yes"/>
    <n v="0"/>
    <x v="3"/>
    <s v="Europe"/>
    <n v="32"/>
    <x v="0"/>
    <x v="1"/>
  </r>
  <r>
    <n v="11383"/>
    <x v="0"/>
    <x v="0"/>
    <n v="30000"/>
    <n v="3"/>
    <x v="4"/>
    <x v="1"/>
    <s v="Yes"/>
    <n v="0"/>
    <x v="0"/>
    <s v="Europe"/>
    <n v="46"/>
    <x v="0"/>
    <x v="0"/>
  </r>
  <r>
    <n v="12497"/>
    <x v="0"/>
    <x v="0"/>
    <n v="40000"/>
    <n v="1"/>
    <x v="0"/>
    <x v="0"/>
    <s v="Yes"/>
    <n v="0"/>
    <x v="0"/>
    <s v="Europe"/>
    <n v="42"/>
    <x v="0"/>
    <x v="0"/>
  </r>
  <r>
    <n v="16559"/>
    <x v="1"/>
    <x v="0"/>
    <n v="10000"/>
    <n v="2"/>
    <x v="2"/>
    <x v="3"/>
    <s v="Yes"/>
    <n v="0"/>
    <x v="0"/>
    <s v="Europe"/>
    <n v="36"/>
    <x v="0"/>
    <x v="1"/>
  </r>
  <r>
    <n v="11585"/>
    <x v="0"/>
    <x v="0"/>
    <n v="40000"/>
    <n v="1"/>
    <x v="0"/>
    <x v="0"/>
    <s v="Yes"/>
    <n v="0"/>
    <x v="0"/>
    <s v="Europe"/>
    <n v="41"/>
    <x v="0"/>
    <x v="0"/>
  </r>
  <r>
    <n v="20277"/>
    <x v="0"/>
    <x v="0"/>
    <n v="30000"/>
    <n v="2"/>
    <x v="1"/>
    <x v="1"/>
    <s v="No"/>
    <n v="2"/>
    <x v="0"/>
    <s v="Pacific"/>
    <n v="69"/>
    <x v="1"/>
    <x v="0"/>
  </r>
  <r>
    <n v="26765"/>
    <x v="1"/>
    <x v="0"/>
    <n v="70000"/>
    <n v="5"/>
    <x v="1"/>
    <x v="0"/>
    <s v="Yes"/>
    <n v="2"/>
    <x v="2"/>
    <s v="Pacific"/>
    <n v="45"/>
    <x v="0"/>
    <x v="0"/>
  </r>
  <r>
    <n v="12389"/>
    <x v="1"/>
    <x v="1"/>
    <n v="30000"/>
    <n v="0"/>
    <x v="2"/>
    <x v="3"/>
    <s v="No"/>
    <n v="1"/>
    <x v="1"/>
    <s v="Europe"/>
    <n v="34"/>
    <x v="0"/>
    <x v="0"/>
  </r>
  <r>
    <n v="13585"/>
    <x v="0"/>
    <x v="0"/>
    <n v="80000"/>
    <n v="4"/>
    <x v="1"/>
    <x v="2"/>
    <s v="No"/>
    <n v="1"/>
    <x v="1"/>
    <s v="Europe"/>
    <n v="53"/>
    <x v="0"/>
    <x v="1"/>
  </r>
  <r>
    <n v="26385"/>
    <x v="1"/>
    <x v="1"/>
    <n v="120000"/>
    <n v="3"/>
    <x v="2"/>
    <x v="2"/>
    <s v="No"/>
    <n v="4"/>
    <x v="2"/>
    <s v="Europe"/>
    <n v="50"/>
    <x v="1"/>
    <x v="0"/>
  </r>
  <r>
    <n v="12236"/>
    <x v="0"/>
    <x v="0"/>
    <n v="20000"/>
    <n v="1"/>
    <x v="1"/>
    <x v="3"/>
    <s v="Yes"/>
    <n v="0"/>
    <x v="0"/>
    <s v="Europe"/>
    <n v="65"/>
    <x v="2"/>
    <x v="0"/>
  </r>
  <r>
    <n v="21560"/>
    <x v="0"/>
    <x v="1"/>
    <n v="120000"/>
    <n v="0"/>
    <x v="3"/>
    <x v="2"/>
    <s v="Yes"/>
    <n v="4"/>
    <x v="4"/>
    <s v="Pacific"/>
    <n v="32"/>
    <x v="0"/>
    <x v="1"/>
  </r>
  <r>
    <n v="21554"/>
    <x v="1"/>
    <x v="0"/>
    <n v="80000"/>
    <n v="0"/>
    <x v="0"/>
    <x v="2"/>
    <s v="No"/>
    <n v="3"/>
    <x v="4"/>
    <s v="Pacific"/>
    <n v="33"/>
    <x v="0"/>
    <x v="0"/>
  </r>
  <r>
    <n v="13662"/>
    <x v="1"/>
    <x v="1"/>
    <n v="20000"/>
    <n v="0"/>
    <x v="3"/>
    <x v="3"/>
    <s v="Yes"/>
    <n v="2"/>
    <x v="3"/>
    <s v="Europe"/>
    <n v="31"/>
    <x v="0"/>
    <x v="1"/>
  </r>
  <r>
    <n v="13089"/>
    <x v="0"/>
    <x v="0"/>
    <n v="120000"/>
    <n v="1"/>
    <x v="0"/>
    <x v="4"/>
    <s v="Yes"/>
    <n v="2"/>
    <x v="0"/>
    <s v="Pacific"/>
    <n v="46"/>
    <x v="0"/>
    <x v="1"/>
  </r>
  <r>
    <n v="14791"/>
    <x v="0"/>
    <x v="0"/>
    <n v="40000"/>
    <n v="0"/>
    <x v="0"/>
    <x v="1"/>
    <s v="Yes"/>
    <n v="0"/>
    <x v="0"/>
    <s v="Europe"/>
    <n v="39"/>
    <x v="1"/>
    <x v="1"/>
  </r>
  <r>
    <n v="19331"/>
    <x v="1"/>
    <x v="1"/>
    <n v="20000"/>
    <n v="2"/>
    <x v="2"/>
    <x v="3"/>
    <s v="Yes"/>
    <n v="1"/>
    <x v="0"/>
    <s v="Europe"/>
    <n v="40"/>
    <x v="0"/>
    <x v="0"/>
  </r>
  <r>
    <n v="17754"/>
    <x v="1"/>
    <x v="0"/>
    <n v="30000"/>
    <n v="3"/>
    <x v="0"/>
    <x v="1"/>
    <s v="Yes"/>
    <n v="0"/>
    <x v="0"/>
    <s v="Europe"/>
    <n v="46"/>
    <x v="0"/>
    <x v="1"/>
  </r>
  <r>
    <n v="11149"/>
    <x v="0"/>
    <x v="1"/>
    <n v="40000"/>
    <n v="2"/>
    <x v="0"/>
    <x v="4"/>
    <s v="Yes"/>
    <n v="2"/>
    <x v="0"/>
    <s v="Pacific"/>
    <n v="65"/>
    <x v="0"/>
    <x v="0"/>
  </r>
  <r>
    <n v="16549"/>
    <x v="1"/>
    <x v="0"/>
    <n v="30000"/>
    <n v="3"/>
    <x v="0"/>
    <x v="1"/>
    <s v="Yes"/>
    <n v="0"/>
    <x v="0"/>
    <s v="Europe"/>
    <n v="47"/>
    <x v="0"/>
    <x v="1"/>
  </r>
  <r>
    <n v="24305"/>
    <x v="1"/>
    <x v="1"/>
    <n v="100000"/>
    <n v="1"/>
    <x v="0"/>
    <x v="4"/>
    <s v="No"/>
    <n v="3"/>
    <x v="0"/>
    <s v="Pacific"/>
    <n v="46"/>
    <x v="0"/>
    <x v="1"/>
  </r>
  <r>
    <n v="18253"/>
    <x v="0"/>
    <x v="0"/>
    <n v="80000"/>
    <n v="5"/>
    <x v="4"/>
    <x v="4"/>
    <s v="Yes"/>
    <n v="3"/>
    <x v="0"/>
    <s v="Pacific"/>
    <n v="40"/>
    <x v="0"/>
    <x v="0"/>
  </r>
  <r>
    <n v="20147"/>
    <x v="0"/>
    <x v="0"/>
    <n v="30000"/>
    <n v="1"/>
    <x v="0"/>
    <x v="1"/>
    <s v="Yes"/>
    <n v="0"/>
    <x v="0"/>
    <s v="Europe"/>
    <n v="65"/>
    <x v="0"/>
    <x v="0"/>
  </r>
  <r>
    <n v="15612"/>
    <x v="1"/>
    <x v="1"/>
    <n v="30000"/>
    <n v="0"/>
    <x v="2"/>
    <x v="3"/>
    <s v="No"/>
    <n v="1"/>
    <x v="3"/>
    <s v="Europe"/>
    <n v="28"/>
    <x v="1"/>
    <x v="0"/>
  </r>
  <r>
    <n v="28323"/>
    <x v="1"/>
    <x v="1"/>
    <n v="70000"/>
    <n v="0"/>
    <x v="0"/>
    <x v="2"/>
    <s v="No"/>
    <n v="2"/>
    <x v="2"/>
    <s v="Pacific"/>
    <n v="43"/>
    <x v="0"/>
    <x v="1"/>
  </r>
  <r>
    <n v="22634"/>
    <x v="1"/>
    <x v="0"/>
    <n v="40000"/>
    <n v="0"/>
    <x v="4"/>
    <x v="1"/>
    <s v="Yes"/>
    <n v="0"/>
    <x v="0"/>
    <s v="Europe"/>
    <n v="38"/>
    <x v="0"/>
    <x v="1"/>
  </r>
  <r>
    <n v="15665"/>
    <x v="0"/>
    <x v="0"/>
    <n v="30000"/>
    <n v="0"/>
    <x v="0"/>
    <x v="1"/>
    <s v="Yes"/>
    <n v="0"/>
    <x v="0"/>
    <s v="Europe"/>
    <n v="47"/>
    <x v="1"/>
    <x v="1"/>
  </r>
  <r>
    <n v="27585"/>
    <x v="0"/>
    <x v="0"/>
    <n v="90000"/>
    <n v="2"/>
    <x v="0"/>
    <x v="2"/>
    <s v="No"/>
    <n v="0"/>
    <x v="0"/>
    <s v="Pacific"/>
    <n v="36"/>
    <x v="0"/>
    <x v="1"/>
  </r>
  <r>
    <n v="19748"/>
    <x v="0"/>
    <x v="1"/>
    <n v="20000"/>
    <n v="4"/>
    <x v="2"/>
    <x v="0"/>
    <s v="No"/>
    <n v="2"/>
    <x v="3"/>
    <s v="Pacific"/>
    <n v="60"/>
    <x v="0"/>
    <x v="0"/>
  </r>
  <r>
    <n v="21974"/>
    <x v="1"/>
    <x v="0"/>
    <n v="70000"/>
    <n v="0"/>
    <x v="0"/>
    <x v="2"/>
    <s v="Yes"/>
    <n v="1"/>
    <x v="2"/>
    <s v="Pacific"/>
    <n v="42"/>
    <x v="0"/>
    <x v="1"/>
  </r>
  <r>
    <n v="14032"/>
    <x v="0"/>
    <x v="1"/>
    <n v="70000"/>
    <n v="2"/>
    <x v="2"/>
    <x v="0"/>
    <s v="No"/>
    <n v="2"/>
    <x v="3"/>
    <s v="Pacific"/>
    <n v="50"/>
    <x v="0"/>
    <x v="1"/>
  </r>
  <r>
    <n v="22610"/>
    <x v="0"/>
    <x v="1"/>
    <n v="30000"/>
    <n v="0"/>
    <x v="0"/>
    <x v="1"/>
    <s v="Yes"/>
    <n v="0"/>
    <x v="0"/>
    <s v="Europe"/>
    <n v="35"/>
    <x v="0"/>
    <x v="1"/>
  </r>
  <r>
    <n v="26984"/>
    <x v="0"/>
    <x v="1"/>
    <n v="40000"/>
    <n v="1"/>
    <x v="0"/>
    <x v="0"/>
    <s v="Yes"/>
    <n v="1"/>
    <x v="0"/>
    <s v="Europe"/>
    <n v="32"/>
    <x v="0"/>
    <x v="1"/>
  </r>
  <r>
    <n v="18294"/>
    <x v="0"/>
    <x v="0"/>
    <n v="90000"/>
    <n v="1"/>
    <x v="0"/>
    <x v="2"/>
    <s v="Yes"/>
    <n v="1"/>
    <x v="2"/>
    <s v="Pacific"/>
    <n v="46"/>
    <x v="1"/>
    <x v="0"/>
  </r>
  <r>
    <n v="28564"/>
    <x v="1"/>
    <x v="0"/>
    <n v="40000"/>
    <n v="2"/>
    <x v="1"/>
    <x v="1"/>
    <s v="Yes"/>
    <n v="0"/>
    <x v="3"/>
    <s v="Europe"/>
    <n v="33"/>
    <x v="0"/>
    <x v="1"/>
  </r>
  <r>
    <n v="28521"/>
    <x v="1"/>
    <x v="1"/>
    <n v="40000"/>
    <n v="0"/>
    <x v="4"/>
    <x v="1"/>
    <s v="No"/>
    <n v="0"/>
    <x v="0"/>
    <s v="Europe"/>
    <n v="36"/>
    <x v="1"/>
    <x v="1"/>
  </r>
  <r>
    <n v="15450"/>
    <x v="0"/>
    <x v="1"/>
    <n v="10000"/>
    <n v="1"/>
    <x v="4"/>
    <x v="1"/>
    <s v="Yes"/>
    <n v="0"/>
    <x v="0"/>
    <s v="Europe"/>
    <n v="70"/>
    <x v="0"/>
    <x v="0"/>
  </r>
  <r>
    <n v="25681"/>
    <x v="1"/>
    <x v="0"/>
    <n v="30000"/>
    <n v="0"/>
    <x v="1"/>
    <x v="1"/>
    <s v="No"/>
    <n v="1"/>
    <x v="1"/>
    <s v="Europe"/>
    <n v="31"/>
    <x v="0"/>
    <x v="1"/>
  </r>
  <r>
    <n v="19491"/>
    <x v="1"/>
    <x v="1"/>
    <n v="30000"/>
    <n v="2"/>
    <x v="1"/>
    <x v="1"/>
    <s v="Yes"/>
    <n v="2"/>
    <x v="0"/>
    <s v="Europe"/>
    <n v="42"/>
    <x v="0"/>
    <x v="0"/>
  </r>
  <r>
    <n v="26415"/>
    <x v="0"/>
    <x v="0"/>
    <n v="90000"/>
    <n v="4"/>
    <x v="3"/>
    <x v="0"/>
    <s v="Yes"/>
    <n v="4"/>
    <x v="4"/>
    <s v="Europe"/>
    <n v="58"/>
    <x v="0"/>
    <x v="0"/>
  </r>
  <r>
    <n v="12821"/>
    <x v="0"/>
    <x v="1"/>
    <n v="40000"/>
    <n v="0"/>
    <x v="0"/>
    <x v="1"/>
    <s v="Yes"/>
    <n v="0"/>
    <x v="0"/>
    <s v="Europe"/>
    <n v="39"/>
    <x v="0"/>
    <x v="0"/>
  </r>
  <r>
    <n v="15629"/>
    <x v="1"/>
    <x v="0"/>
    <n v="10000"/>
    <n v="0"/>
    <x v="3"/>
    <x v="3"/>
    <s v="Yes"/>
    <n v="2"/>
    <x v="3"/>
    <s v="Europe"/>
    <n v="34"/>
    <x v="0"/>
    <x v="0"/>
  </r>
  <r>
    <n v="27835"/>
    <x v="0"/>
    <x v="1"/>
    <n v="20000"/>
    <n v="0"/>
    <x v="3"/>
    <x v="3"/>
    <s v="Yes"/>
    <n v="2"/>
    <x v="0"/>
    <s v="Europe"/>
    <n v="32"/>
    <x v="2"/>
    <x v="0"/>
  </r>
  <r>
    <n v="11738"/>
    <x v="0"/>
    <x v="1"/>
    <n v="60000"/>
    <n v="4"/>
    <x v="0"/>
    <x v="2"/>
    <s v="Yes"/>
    <n v="0"/>
    <x v="1"/>
    <s v="North America"/>
    <n v="46"/>
    <x v="0"/>
    <x v="0"/>
  </r>
  <r>
    <n v="25065"/>
    <x v="0"/>
    <x v="1"/>
    <n v="70000"/>
    <n v="2"/>
    <x v="3"/>
    <x v="0"/>
    <s v="Yes"/>
    <n v="2"/>
    <x v="2"/>
    <s v="North America"/>
    <n v="48"/>
    <x v="0"/>
    <x v="0"/>
  </r>
  <r>
    <n v="26238"/>
    <x v="1"/>
    <x v="0"/>
    <n v="40000"/>
    <n v="3"/>
    <x v="1"/>
    <x v="1"/>
    <s v="Yes"/>
    <n v="1"/>
    <x v="3"/>
    <s v="North America"/>
    <n v="31"/>
    <x v="0"/>
    <x v="1"/>
  </r>
  <r>
    <n v="23707"/>
    <x v="1"/>
    <x v="1"/>
    <n v="70000"/>
    <n v="5"/>
    <x v="0"/>
    <x v="4"/>
    <s v="Yes"/>
    <n v="3"/>
    <x v="4"/>
    <s v="North America"/>
    <n v="60"/>
    <x v="0"/>
    <x v="1"/>
  </r>
  <r>
    <n v="27650"/>
    <x v="0"/>
    <x v="1"/>
    <n v="70000"/>
    <n v="4"/>
    <x v="2"/>
    <x v="2"/>
    <s v="Yes"/>
    <n v="0"/>
    <x v="2"/>
    <s v="North America"/>
    <n v="51"/>
    <x v="0"/>
    <x v="0"/>
  </r>
  <r>
    <n v="24981"/>
    <x v="0"/>
    <x v="1"/>
    <n v="60000"/>
    <n v="2"/>
    <x v="1"/>
    <x v="2"/>
    <s v="Yes"/>
    <n v="2"/>
    <x v="4"/>
    <s v="North America"/>
    <n v="56"/>
    <x v="2"/>
    <x v="0"/>
  </r>
  <r>
    <n v="20678"/>
    <x v="1"/>
    <x v="0"/>
    <n v="60000"/>
    <n v="3"/>
    <x v="0"/>
    <x v="0"/>
    <s v="Yes"/>
    <n v="1"/>
    <x v="1"/>
    <s v="North America"/>
    <n v="40"/>
    <x v="0"/>
    <x v="1"/>
  </r>
  <r>
    <n v="15302"/>
    <x v="1"/>
    <x v="0"/>
    <n v="70000"/>
    <n v="1"/>
    <x v="4"/>
    <x v="2"/>
    <s v="Yes"/>
    <n v="0"/>
    <x v="1"/>
    <s v="North America"/>
    <n v="34"/>
    <x v="0"/>
    <x v="1"/>
  </r>
  <r>
    <n v="26012"/>
    <x v="0"/>
    <x v="1"/>
    <n v="80000"/>
    <n v="1"/>
    <x v="1"/>
    <x v="0"/>
    <s v="Yes"/>
    <n v="1"/>
    <x v="1"/>
    <s v="North America"/>
    <n v="48"/>
    <x v="1"/>
    <x v="1"/>
  </r>
  <r>
    <n v="26575"/>
    <x v="1"/>
    <x v="0"/>
    <n v="40000"/>
    <n v="0"/>
    <x v="2"/>
    <x v="0"/>
    <s v="No"/>
    <n v="2"/>
    <x v="3"/>
    <s v="North America"/>
    <n v="31"/>
    <x v="0"/>
    <x v="1"/>
  </r>
  <r>
    <n v="15559"/>
    <x v="0"/>
    <x v="1"/>
    <n v="60000"/>
    <n v="5"/>
    <x v="0"/>
    <x v="2"/>
    <s v="Yes"/>
    <n v="1"/>
    <x v="1"/>
    <s v="North America"/>
    <n v="47"/>
    <x v="1"/>
    <x v="0"/>
  </r>
  <r>
    <n v="19235"/>
    <x v="0"/>
    <x v="0"/>
    <n v="50000"/>
    <n v="0"/>
    <x v="4"/>
    <x v="0"/>
    <s v="Yes"/>
    <n v="0"/>
    <x v="0"/>
    <s v="North America"/>
    <n v="34"/>
    <x v="0"/>
    <x v="0"/>
  </r>
  <r>
    <n v="15275"/>
    <x v="0"/>
    <x v="1"/>
    <n v="40000"/>
    <n v="0"/>
    <x v="1"/>
    <x v="0"/>
    <s v="Yes"/>
    <n v="1"/>
    <x v="2"/>
    <s v="North America"/>
    <n v="29"/>
    <x v="0"/>
    <x v="0"/>
  </r>
  <r>
    <n v="20339"/>
    <x v="0"/>
    <x v="0"/>
    <n v="130000"/>
    <n v="1"/>
    <x v="0"/>
    <x v="4"/>
    <s v="Yes"/>
    <n v="4"/>
    <x v="1"/>
    <s v="North America"/>
    <n v="44"/>
    <x v="0"/>
    <x v="1"/>
  </r>
  <r>
    <n v="25405"/>
    <x v="0"/>
    <x v="1"/>
    <n v="70000"/>
    <n v="2"/>
    <x v="0"/>
    <x v="0"/>
    <s v="Yes"/>
    <n v="1"/>
    <x v="1"/>
    <s v="North America"/>
    <n v="38"/>
    <x v="0"/>
    <x v="1"/>
  </r>
  <r>
    <n v="15940"/>
    <x v="0"/>
    <x v="1"/>
    <n v="100000"/>
    <n v="4"/>
    <x v="1"/>
    <x v="2"/>
    <s v="Yes"/>
    <n v="4"/>
    <x v="0"/>
    <s v="North America"/>
    <n v="40"/>
    <x v="0"/>
    <x v="0"/>
  </r>
  <r>
    <n v="25074"/>
    <x v="0"/>
    <x v="0"/>
    <n v="70000"/>
    <n v="4"/>
    <x v="0"/>
    <x v="2"/>
    <s v="Yes"/>
    <n v="2"/>
    <x v="1"/>
    <s v="North America"/>
    <n v="42"/>
    <x v="1"/>
    <x v="1"/>
  </r>
  <r>
    <n v="24738"/>
    <x v="0"/>
    <x v="0"/>
    <n v="40000"/>
    <n v="1"/>
    <x v="1"/>
    <x v="1"/>
    <s v="Yes"/>
    <n v="1"/>
    <x v="3"/>
    <s v="North America"/>
    <n v="51"/>
    <x v="0"/>
    <x v="1"/>
  </r>
  <r>
    <n v="16337"/>
    <x v="0"/>
    <x v="1"/>
    <n v="60000"/>
    <n v="0"/>
    <x v="1"/>
    <x v="0"/>
    <s v="No"/>
    <n v="2"/>
    <x v="3"/>
    <s v="North America"/>
    <n v="29"/>
    <x v="1"/>
    <x v="0"/>
  </r>
  <r>
    <n v="24357"/>
    <x v="0"/>
    <x v="1"/>
    <n v="80000"/>
    <n v="3"/>
    <x v="0"/>
    <x v="2"/>
    <s v="Yes"/>
    <n v="1"/>
    <x v="1"/>
    <s v="North America"/>
    <n v="48"/>
    <x v="0"/>
    <x v="1"/>
  </r>
  <r>
    <n v="18613"/>
    <x v="1"/>
    <x v="1"/>
    <n v="70000"/>
    <n v="0"/>
    <x v="0"/>
    <x v="2"/>
    <s v="No"/>
    <n v="1"/>
    <x v="1"/>
    <s v="North America"/>
    <n v="37"/>
    <x v="0"/>
    <x v="1"/>
  </r>
  <r>
    <n v="12207"/>
    <x v="1"/>
    <x v="1"/>
    <n v="80000"/>
    <n v="4"/>
    <x v="0"/>
    <x v="4"/>
    <s v="Yes"/>
    <n v="0"/>
    <x v="2"/>
    <s v="North America"/>
    <n v="66"/>
    <x v="1"/>
    <x v="1"/>
  </r>
  <r>
    <n v="18052"/>
    <x v="0"/>
    <x v="0"/>
    <n v="60000"/>
    <n v="1"/>
    <x v="1"/>
    <x v="0"/>
    <s v="Yes"/>
    <n v="1"/>
    <x v="0"/>
    <s v="North America"/>
    <n v="45"/>
    <x v="1"/>
    <x v="1"/>
  </r>
  <r>
    <n v="13353"/>
    <x v="1"/>
    <x v="0"/>
    <n v="60000"/>
    <n v="4"/>
    <x v="4"/>
    <x v="4"/>
    <s v="Yes"/>
    <n v="2"/>
    <x v="4"/>
    <s v="North America"/>
    <n v="61"/>
    <x v="0"/>
    <x v="1"/>
  </r>
  <r>
    <n v="19399"/>
    <x v="1"/>
    <x v="1"/>
    <n v="40000"/>
    <n v="0"/>
    <x v="0"/>
    <x v="2"/>
    <s v="No"/>
    <n v="1"/>
    <x v="1"/>
    <s v="North America"/>
    <n v="45"/>
    <x v="0"/>
    <x v="0"/>
  </r>
  <r>
    <n v="16154"/>
    <x v="0"/>
    <x v="0"/>
    <n v="70000"/>
    <n v="5"/>
    <x v="0"/>
    <x v="2"/>
    <s v="Yes"/>
    <n v="2"/>
    <x v="1"/>
    <s v="North America"/>
    <n v="47"/>
    <x v="2"/>
    <x v="0"/>
  </r>
  <r>
    <n v="22219"/>
    <x v="0"/>
    <x v="0"/>
    <n v="60000"/>
    <n v="2"/>
    <x v="2"/>
    <x v="2"/>
    <s v="Yes"/>
    <n v="2"/>
    <x v="2"/>
    <s v="North America"/>
    <n v="49"/>
    <x v="1"/>
    <x v="0"/>
  </r>
  <r>
    <n v="17269"/>
    <x v="1"/>
    <x v="1"/>
    <n v="60000"/>
    <n v="3"/>
    <x v="0"/>
    <x v="2"/>
    <s v="No"/>
    <n v="0"/>
    <x v="0"/>
    <s v="North America"/>
    <n v="47"/>
    <x v="2"/>
    <x v="1"/>
  </r>
  <r>
    <n v="23586"/>
    <x v="0"/>
    <x v="0"/>
    <n v="80000"/>
    <n v="0"/>
    <x v="0"/>
    <x v="4"/>
    <s v="Yes"/>
    <n v="1"/>
    <x v="3"/>
    <s v="North America"/>
    <n v="34"/>
    <x v="2"/>
    <x v="1"/>
  </r>
  <r>
    <n v="15740"/>
    <x v="0"/>
    <x v="1"/>
    <n v="80000"/>
    <n v="5"/>
    <x v="0"/>
    <x v="4"/>
    <s v="Yes"/>
    <n v="2"/>
    <x v="3"/>
    <s v="North America"/>
    <n v="64"/>
    <x v="0"/>
    <x v="0"/>
  </r>
  <r>
    <n v="27638"/>
    <x v="1"/>
    <x v="1"/>
    <n v="100000"/>
    <n v="1"/>
    <x v="1"/>
    <x v="2"/>
    <s v="No"/>
    <n v="3"/>
    <x v="3"/>
    <s v="North America"/>
    <n v="44"/>
    <x v="1"/>
    <x v="0"/>
  </r>
  <r>
    <n v="18976"/>
    <x v="1"/>
    <x v="1"/>
    <n v="40000"/>
    <n v="4"/>
    <x v="2"/>
    <x v="2"/>
    <s v="Yes"/>
    <n v="2"/>
    <x v="4"/>
    <s v="North America"/>
    <n v="62"/>
    <x v="1"/>
    <x v="1"/>
  </r>
  <r>
    <n v="19413"/>
    <x v="1"/>
    <x v="1"/>
    <n v="60000"/>
    <n v="3"/>
    <x v="0"/>
    <x v="2"/>
    <s v="No"/>
    <n v="1"/>
    <x v="0"/>
    <s v="North America"/>
    <n v="47"/>
    <x v="0"/>
    <x v="1"/>
  </r>
  <r>
    <n v="13283"/>
    <x v="0"/>
    <x v="1"/>
    <n v="80000"/>
    <n v="3"/>
    <x v="1"/>
    <x v="2"/>
    <s v="No"/>
    <n v="2"/>
    <x v="0"/>
    <s v="North America"/>
    <n v="49"/>
    <x v="0"/>
    <x v="1"/>
  </r>
  <r>
    <n v="17471"/>
    <x v="1"/>
    <x v="0"/>
    <n v="80000"/>
    <n v="4"/>
    <x v="4"/>
    <x v="4"/>
    <s v="Yes"/>
    <n v="2"/>
    <x v="2"/>
    <s v="North America"/>
    <n v="67"/>
    <x v="0"/>
    <x v="0"/>
  </r>
  <r>
    <n v="16791"/>
    <x v="1"/>
    <x v="1"/>
    <n v="60000"/>
    <n v="5"/>
    <x v="0"/>
    <x v="4"/>
    <s v="Yes"/>
    <n v="3"/>
    <x v="4"/>
    <s v="North America"/>
    <n v="59"/>
    <x v="0"/>
    <x v="1"/>
  </r>
  <r>
    <n v="15382"/>
    <x v="0"/>
    <x v="0"/>
    <n v="110000"/>
    <n v="1"/>
    <x v="0"/>
    <x v="4"/>
    <s v="Yes"/>
    <n v="2"/>
    <x v="3"/>
    <s v="North America"/>
    <n v="44"/>
    <x v="0"/>
    <x v="0"/>
  </r>
  <r>
    <n v="11641"/>
    <x v="0"/>
    <x v="1"/>
    <n v="50000"/>
    <n v="1"/>
    <x v="0"/>
    <x v="0"/>
    <s v="Yes"/>
    <n v="0"/>
    <x v="0"/>
    <s v="North America"/>
    <n v="36"/>
    <x v="0"/>
    <x v="0"/>
  </r>
  <r>
    <n v="11935"/>
    <x v="1"/>
    <x v="0"/>
    <n v="30000"/>
    <n v="0"/>
    <x v="1"/>
    <x v="0"/>
    <s v="Yes"/>
    <n v="1"/>
    <x v="2"/>
    <s v="North America"/>
    <n v="28"/>
    <x v="0"/>
    <x v="0"/>
  </r>
  <r>
    <n v="13233"/>
    <x v="0"/>
    <x v="1"/>
    <n v="60000"/>
    <n v="2"/>
    <x v="1"/>
    <x v="2"/>
    <s v="Yes"/>
    <n v="1"/>
    <x v="4"/>
    <s v="North America"/>
    <n v="57"/>
    <x v="2"/>
    <x v="1"/>
  </r>
  <r>
    <n v="25909"/>
    <x v="0"/>
    <x v="1"/>
    <n v="60000"/>
    <n v="0"/>
    <x v="1"/>
    <x v="0"/>
    <s v="Yes"/>
    <n v="1"/>
    <x v="2"/>
    <s v="North America"/>
    <n v="27"/>
    <x v="0"/>
    <x v="1"/>
  </r>
  <r>
    <n v="14092"/>
    <x v="1"/>
    <x v="1"/>
    <n v="30000"/>
    <n v="0"/>
    <x v="3"/>
    <x v="1"/>
    <s v="Yes"/>
    <n v="2"/>
    <x v="2"/>
    <s v="North America"/>
    <n v="28"/>
    <x v="0"/>
    <x v="0"/>
  </r>
  <r>
    <n v="29143"/>
    <x v="1"/>
    <x v="0"/>
    <n v="60000"/>
    <n v="1"/>
    <x v="0"/>
    <x v="2"/>
    <s v="No"/>
    <n v="1"/>
    <x v="0"/>
    <s v="North America"/>
    <n v="44"/>
    <x v="2"/>
    <x v="1"/>
  </r>
  <r>
    <n v="24941"/>
    <x v="0"/>
    <x v="1"/>
    <n v="60000"/>
    <n v="3"/>
    <x v="0"/>
    <x v="4"/>
    <s v="Yes"/>
    <n v="2"/>
    <x v="4"/>
    <s v="North America"/>
    <n v="66"/>
    <x v="0"/>
    <x v="0"/>
  </r>
  <r>
    <n v="24637"/>
    <x v="0"/>
    <x v="1"/>
    <n v="40000"/>
    <n v="4"/>
    <x v="2"/>
    <x v="2"/>
    <s v="Yes"/>
    <n v="2"/>
    <x v="4"/>
    <s v="North America"/>
    <n v="64"/>
    <x v="1"/>
    <x v="0"/>
  </r>
  <r>
    <n v="23893"/>
    <x v="0"/>
    <x v="1"/>
    <n v="50000"/>
    <n v="3"/>
    <x v="0"/>
    <x v="0"/>
    <s v="Yes"/>
    <n v="3"/>
    <x v="4"/>
    <s v="North America"/>
    <n v="41"/>
    <x v="0"/>
    <x v="0"/>
  </r>
  <r>
    <n v="13907"/>
    <x v="1"/>
    <x v="0"/>
    <n v="80000"/>
    <n v="3"/>
    <x v="0"/>
    <x v="0"/>
    <s v="Yes"/>
    <n v="1"/>
    <x v="0"/>
    <s v="North America"/>
    <n v="41"/>
    <x v="0"/>
    <x v="1"/>
  </r>
  <r>
    <n v="14900"/>
    <x v="0"/>
    <x v="0"/>
    <n v="40000"/>
    <n v="1"/>
    <x v="1"/>
    <x v="1"/>
    <s v="Yes"/>
    <n v="1"/>
    <x v="3"/>
    <s v="North America"/>
    <n v="49"/>
    <x v="0"/>
    <x v="1"/>
  </r>
  <r>
    <n v="11262"/>
    <x v="0"/>
    <x v="0"/>
    <n v="80000"/>
    <n v="4"/>
    <x v="0"/>
    <x v="4"/>
    <s v="Yes"/>
    <n v="0"/>
    <x v="0"/>
    <s v="North America"/>
    <n v="42"/>
    <x v="1"/>
    <x v="0"/>
  </r>
  <r>
    <n v="22294"/>
    <x v="1"/>
    <x v="0"/>
    <n v="70000"/>
    <n v="0"/>
    <x v="0"/>
    <x v="2"/>
    <s v="No"/>
    <n v="1"/>
    <x v="1"/>
    <s v="North America"/>
    <n v="37"/>
    <x v="0"/>
    <x v="1"/>
  </r>
  <r>
    <n v="12195"/>
    <x v="1"/>
    <x v="0"/>
    <n v="70000"/>
    <n v="3"/>
    <x v="4"/>
    <x v="4"/>
    <s v="Yes"/>
    <n v="2"/>
    <x v="3"/>
    <s v="North America"/>
    <n v="52"/>
    <x v="1"/>
    <x v="0"/>
  </r>
  <r>
    <n v="25375"/>
    <x v="0"/>
    <x v="1"/>
    <n v="50000"/>
    <n v="1"/>
    <x v="4"/>
    <x v="0"/>
    <s v="Yes"/>
    <n v="0"/>
    <x v="3"/>
    <s v="North America"/>
    <n v="34"/>
    <x v="0"/>
    <x v="0"/>
  </r>
  <r>
    <n v="11143"/>
    <x v="0"/>
    <x v="1"/>
    <n v="40000"/>
    <n v="0"/>
    <x v="2"/>
    <x v="0"/>
    <s v="Yes"/>
    <n v="2"/>
    <x v="2"/>
    <s v="North America"/>
    <n v="29"/>
    <x v="0"/>
    <x v="0"/>
  </r>
  <r>
    <n v="25898"/>
    <x v="0"/>
    <x v="0"/>
    <n v="70000"/>
    <n v="2"/>
    <x v="2"/>
    <x v="2"/>
    <s v="Yes"/>
    <n v="2"/>
    <x v="1"/>
    <s v="North America"/>
    <n v="53"/>
    <x v="0"/>
    <x v="0"/>
  </r>
  <r>
    <n v="24397"/>
    <x v="1"/>
    <x v="1"/>
    <n v="120000"/>
    <n v="2"/>
    <x v="0"/>
    <x v="4"/>
    <s v="No"/>
    <n v="4"/>
    <x v="3"/>
    <s v="North America"/>
    <n v="40"/>
    <x v="0"/>
    <x v="0"/>
  </r>
  <r>
    <n v="19758"/>
    <x v="1"/>
    <x v="1"/>
    <n v="60000"/>
    <n v="0"/>
    <x v="1"/>
    <x v="0"/>
    <s v="No"/>
    <n v="2"/>
    <x v="3"/>
    <s v="North America"/>
    <n v="29"/>
    <x v="0"/>
    <x v="0"/>
  </r>
  <r>
    <n v="15529"/>
    <x v="0"/>
    <x v="1"/>
    <n v="60000"/>
    <n v="4"/>
    <x v="0"/>
    <x v="2"/>
    <s v="Yes"/>
    <n v="2"/>
    <x v="1"/>
    <s v="North America"/>
    <n v="43"/>
    <x v="1"/>
    <x v="1"/>
  </r>
  <r>
    <n v="19884"/>
    <x v="0"/>
    <x v="1"/>
    <n v="60000"/>
    <n v="2"/>
    <x v="2"/>
    <x v="2"/>
    <s v="Yes"/>
    <n v="2"/>
    <x v="1"/>
    <s v="North America"/>
    <n v="55"/>
    <x v="0"/>
    <x v="1"/>
  </r>
  <r>
    <n v="18674"/>
    <x v="1"/>
    <x v="0"/>
    <n v="80000"/>
    <n v="4"/>
    <x v="4"/>
    <x v="0"/>
    <s v="No"/>
    <n v="0"/>
    <x v="0"/>
    <s v="North America"/>
    <n v="48"/>
    <x v="0"/>
    <x v="0"/>
  </r>
  <r>
    <n v="13453"/>
    <x v="0"/>
    <x v="0"/>
    <n v="130000"/>
    <n v="3"/>
    <x v="0"/>
    <x v="4"/>
    <s v="Yes"/>
    <n v="3"/>
    <x v="0"/>
    <s v="North America"/>
    <n v="45"/>
    <x v="0"/>
    <x v="1"/>
  </r>
  <r>
    <n v="14063"/>
    <x v="1"/>
    <x v="0"/>
    <n v="70000"/>
    <n v="0"/>
    <x v="0"/>
    <x v="2"/>
    <s v="No"/>
    <n v="1"/>
    <x v="0"/>
    <s v="Pacific"/>
    <n v="42"/>
    <x v="2"/>
    <x v="1"/>
  </r>
  <r>
    <n v="27393"/>
    <x v="0"/>
    <x v="0"/>
    <n v="50000"/>
    <n v="4"/>
    <x v="0"/>
    <x v="4"/>
    <s v="Yes"/>
    <n v="2"/>
    <x v="4"/>
    <s v="North America"/>
    <n v="63"/>
    <x v="2"/>
    <x v="0"/>
  </r>
  <r>
    <n v="14417"/>
    <x v="1"/>
    <x v="1"/>
    <n v="60000"/>
    <n v="3"/>
    <x v="2"/>
    <x v="2"/>
    <s v="Yes"/>
    <n v="2"/>
    <x v="4"/>
    <s v="North America"/>
    <n v="54"/>
    <x v="0"/>
    <x v="1"/>
  </r>
  <r>
    <n v="17533"/>
    <x v="0"/>
    <x v="1"/>
    <n v="40000"/>
    <n v="3"/>
    <x v="1"/>
    <x v="2"/>
    <s v="No"/>
    <n v="2"/>
    <x v="2"/>
    <s v="North America"/>
    <n v="73"/>
    <x v="1"/>
    <x v="1"/>
  </r>
  <r>
    <n v="18580"/>
    <x v="0"/>
    <x v="0"/>
    <n v="60000"/>
    <n v="2"/>
    <x v="4"/>
    <x v="2"/>
    <s v="Yes"/>
    <n v="0"/>
    <x v="1"/>
    <s v="North America"/>
    <n v="40"/>
    <x v="0"/>
    <x v="1"/>
  </r>
  <r>
    <n v="17025"/>
    <x v="1"/>
    <x v="1"/>
    <n v="50000"/>
    <n v="0"/>
    <x v="1"/>
    <x v="0"/>
    <s v="No"/>
    <n v="1"/>
    <x v="1"/>
    <s v="North America"/>
    <n v="39"/>
    <x v="0"/>
    <x v="1"/>
  </r>
  <r>
    <n v="25293"/>
    <x v="0"/>
    <x v="1"/>
    <n v="80000"/>
    <n v="4"/>
    <x v="0"/>
    <x v="4"/>
    <s v="Yes"/>
    <n v="0"/>
    <x v="3"/>
    <s v="North America"/>
    <n v="42"/>
    <x v="1"/>
    <x v="0"/>
  </r>
  <r>
    <n v="24725"/>
    <x v="0"/>
    <x v="0"/>
    <n v="40000"/>
    <n v="3"/>
    <x v="1"/>
    <x v="1"/>
    <s v="Yes"/>
    <n v="0"/>
    <x v="3"/>
    <s v="North America"/>
    <n v="31"/>
    <x v="0"/>
    <x v="0"/>
  </r>
  <r>
    <n v="23200"/>
    <x v="0"/>
    <x v="0"/>
    <n v="50000"/>
    <n v="3"/>
    <x v="0"/>
    <x v="0"/>
    <s v="Yes"/>
    <n v="2"/>
    <x v="0"/>
    <s v="North America"/>
    <n v="41"/>
    <x v="1"/>
    <x v="0"/>
  </r>
  <r>
    <n v="15895"/>
    <x v="1"/>
    <x v="0"/>
    <n v="60000"/>
    <n v="2"/>
    <x v="0"/>
    <x v="4"/>
    <s v="Yes"/>
    <n v="0"/>
    <x v="4"/>
    <s v="North America"/>
    <n v="58"/>
    <x v="2"/>
    <x v="0"/>
  </r>
  <r>
    <n v="18577"/>
    <x v="0"/>
    <x v="0"/>
    <n v="60000"/>
    <n v="0"/>
    <x v="4"/>
    <x v="2"/>
    <s v="Yes"/>
    <n v="0"/>
    <x v="0"/>
    <s v="North America"/>
    <n v="40"/>
    <x v="1"/>
    <x v="0"/>
  </r>
  <r>
    <n v="27218"/>
    <x v="0"/>
    <x v="0"/>
    <n v="20000"/>
    <n v="2"/>
    <x v="3"/>
    <x v="1"/>
    <s v="No"/>
    <n v="0"/>
    <x v="0"/>
    <s v="North America"/>
    <n v="48"/>
    <x v="0"/>
    <x v="0"/>
  </r>
  <r>
    <n v="18560"/>
    <x v="0"/>
    <x v="0"/>
    <n v="70000"/>
    <n v="2"/>
    <x v="4"/>
    <x v="2"/>
    <s v="Yes"/>
    <n v="0"/>
    <x v="1"/>
    <s v="North America"/>
    <n v="34"/>
    <x v="1"/>
    <x v="1"/>
  </r>
  <r>
    <n v="25006"/>
    <x v="1"/>
    <x v="0"/>
    <n v="30000"/>
    <n v="0"/>
    <x v="1"/>
    <x v="0"/>
    <s v="Yes"/>
    <n v="1"/>
    <x v="2"/>
    <s v="North America"/>
    <n v="28"/>
    <x v="0"/>
    <x v="0"/>
  </r>
  <r>
    <n v="17369"/>
    <x v="1"/>
    <x v="1"/>
    <n v="30000"/>
    <n v="0"/>
    <x v="1"/>
    <x v="0"/>
    <s v="Yes"/>
    <n v="1"/>
    <x v="2"/>
    <s v="North America"/>
    <n v="27"/>
    <x v="0"/>
    <x v="0"/>
  </r>
  <r>
    <n v="14495"/>
    <x v="0"/>
    <x v="1"/>
    <n v="40000"/>
    <n v="3"/>
    <x v="1"/>
    <x v="2"/>
    <s v="No"/>
    <n v="2"/>
    <x v="2"/>
    <s v="North America"/>
    <n v="54"/>
    <x v="1"/>
    <x v="1"/>
  </r>
  <r>
    <n v="18847"/>
    <x v="0"/>
    <x v="0"/>
    <n v="60000"/>
    <n v="2"/>
    <x v="4"/>
    <x v="4"/>
    <s v="Yes"/>
    <n v="2"/>
    <x v="2"/>
    <s v="North America"/>
    <n v="70"/>
    <x v="0"/>
    <x v="0"/>
  </r>
  <r>
    <n v="14754"/>
    <x v="0"/>
    <x v="1"/>
    <n v="40000"/>
    <n v="1"/>
    <x v="1"/>
    <x v="1"/>
    <s v="Yes"/>
    <n v="1"/>
    <x v="3"/>
    <s v="North America"/>
    <n v="48"/>
    <x v="1"/>
    <x v="1"/>
  </r>
  <r>
    <n v="23378"/>
    <x v="0"/>
    <x v="1"/>
    <n v="70000"/>
    <n v="1"/>
    <x v="1"/>
    <x v="0"/>
    <s v="Yes"/>
    <n v="1"/>
    <x v="1"/>
    <s v="North America"/>
    <n v="44"/>
    <x v="2"/>
    <x v="1"/>
  </r>
  <r>
    <n v="26452"/>
    <x v="1"/>
    <x v="1"/>
    <n v="50000"/>
    <n v="3"/>
    <x v="4"/>
    <x v="4"/>
    <s v="Yes"/>
    <n v="2"/>
    <x v="4"/>
    <s v="North America"/>
    <n v="69"/>
    <x v="0"/>
    <x v="0"/>
  </r>
  <r>
    <n v="20370"/>
    <x v="0"/>
    <x v="1"/>
    <n v="70000"/>
    <n v="3"/>
    <x v="3"/>
    <x v="0"/>
    <s v="Yes"/>
    <n v="2"/>
    <x v="2"/>
    <s v="North America"/>
    <n v="52"/>
    <x v="1"/>
    <x v="0"/>
  </r>
  <r>
    <n v="20528"/>
    <x v="0"/>
    <x v="1"/>
    <n v="40000"/>
    <n v="2"/>
    <x v="3"/>
    <x v="0"/>
    <s v="Yes"/>
    <n v="2"/>
    <x v="1"/>
    <s v="North America"/>
    <n v="55"/>
    <x v="0"/>
    <x v="0"/>
  </r>
  <r>
    <n v="23549"/>
    <x v="1"/>
    <x v="1"/>
    <n v="30000"/>
    <n v="0"/>
    <x v="2"/>
    <x v="0"/>
    <s v="Yes"/>
    <n v="2"/>
    <x v="2"/>
    <s v="North America"/>
    <n v="30"/>
    <x v="0"/>
    <x v="0"/>
  </r>
  <r>
    <n v="21751"/>
    <x v="0"/>
    <x v="1"/>
    <n v="60000"/>
    <n v="3"/>
    <x v="4"/>
    <x v="4"/>
    <s v="Yes"/>
    <n v="2"/>
    <x v="3"/>
    <s v="North America"/>
    <n v="63"/>
    <x v="0"/>
    <x v="0"/>
  </r>
  <r>
    <n v="21266"/>
    <x v="1"/>
    <x v="0"/>
    <n v="80000"/>
    <n v="0"/>
    <x v="0"/>
    <x v="4"/>
    <s v="Yes"/>
    <n v="1"/>
    <x v="3"/>
    <s v="North America"/>
    <n v="34"/>
    <x v="0"/>
    <x v="1"/>
  </r>
  <r>
    <n v="13388"/>
    <x v="1"/>
    <x v="1"/>
    <n v="60000"/>
    <n v="2"/>
    <x v="1"/>
    <x v="2"/>
    <s v="Yes"/>
    <n v="1"/>
    <x v="4"/>
    <s v="North America"/>
    <n v="56"/>
    <x v="0"/>
    <x v="0"/>
  </r>
  <r>
    <n v="18752"/>
    <x v="1"/>
    <x v="0"/>
    <n v="40000"/>
    <n v="0"/>
    <x v="2"/>
    <x v="0"/>
    <s v="Yes"/>
    <n v="1"/>
    <x v="2"/>
    <s v="North America"/>
    <n v="31"/>
    <x v="1"/>
    <x v="0"/>
  </r>
  <r>
    <n v="16917"/>
    <x v="0"/>
    <x v="1"/>
    <n v="120000"/>
    <n v="1"/>
    <x v="0"/>
    <x v="4"/>
    <s v="Yes"/>
    <n v="4"/>
    <x v="0"/>
    <s v="North America"/>
    <n v="38"/>
    <x v="0"/>
    <x v="0"/>
  </r>
  <r>
    <n v="15313"/>
    <x v="0"/>
    <x v="1"/>
    <n v="60000"/>
    <n v="4"/>
    <x v="0"/>
    <x v="4"/>
    <s v="Yes"/>
    <n v="2"/>
    <x v="1"/>
    <s v="North America"/>
    <n v="59"/>
    <x v="1"/>
    <x v="0"/>
  </r>
  <r>
    <n v="25329"/>
    <x v="1"/>
    <x v="0"/>
    <n v="40000"/>
    <n v="3"/>
    <x v="1"/>
    <x v="1"/>
    <s v="No"/>
    <n v="2"/>
    <x v="0"/>
    <s v="North America"/>
    <n v="32"/>
    <x v="0"/>
    <x v="0"/>
  </r>
  <r>
    <n v="20380"/>
    <x v="0"/>
    <x v="0"/>
    <n v="60000"/>
    <n v="3"/>
    <x v="4"/>
    <x v="4"/>
    <s v="Yes"/>
    <n v="2"/>
    <x v="4"/>
    <s v="North America"/>
    <n v="69"/>
    <x v="0"/>
    <x v="0"/>
  </r>
  <r>
    <n v="23089"/>
    <x v="0"/>
    <x v="1"/>
    <n v="40000"/>
    <n v="0"/>
    <x v="1"/>
    <x v="0"/>
    <s v="Yes"/>
    <n v="1"/>
    <x v="2"/>
    <s v="North America"/>
    <n v="28"/>
    <x v="1"/>
    <x v="0"/>
  </r>
  <r>
    <n v="13749"/>
    <x v="0"/>
    <x v="1"/>
    <n v="80000"/>
    <n v="4"/>
    <x v="4"/>
    <x v="0"/>
    <s v="Yes"/>
    <n v="0"/>
    <x v="3"/>
    <s v="North America"/>
    <n v="47"/>
    <x v="1"/>
    <x v="0"/>
  </r>
  <r>
    <n v="24943"/>
    <x v="0"/>
    <x v="1"/>
    <n v="60000"/>
    <n v="3"/>
    <x v="0"/>
    <x v="4"/>
    <s v="Yes"/>
    <n v="2"/>
    <x v="4"/>
    <s v="North America"/>
    <n v="66"/>
    <x v="0"/>
    <x v="0"/>
  </r>
  <r>
    <n v="28667"/>
    <x v="1"/>
    <x v="1"/>
    <n v="70000"/>
    <n v="2"/>
    <x v="0"/>
    <x v="0"/>
    <s v="No"/>
    <n v="1"/>
    <x v="0"/>
    <s v="North America"/>
    <n v="37"/>
    <x v="1"/>
    <x v="1"/>
  </r>
  <r>
    <n v="15194"/>
    <x v="1"/>
    <x v="1"/>
    <n v="120000"/>
    <n v="2"/>
    <x v="0"/>
    <x v="4"/>
    <s v="No"/>
    <n v="3"/>
    <x v="0"/>
    <s v="North America"/>
    <n v="39"/>
    <x v="0"/>
    <x v="1"/>
  </r>
  <r>
    <n v="17436"/>
    <x v="0"/>
    <x v="1"/>
    <n v="60000"/>
    <n v="2"/>
    <x v="2"/>
    <x v="2"/>
    <s v="No"/>
    <n v="2"/>
    <x v="3"/>
    <s v="North America"/>
    <n v="51"/>
    <x v="1"/>
    <x v="0"/>
  </r>
  <r>
    <n v="18935"/>
    <x v="0"/>
    <x v="0"/>
    <n v="130000"/>
    <n v="0"/>
    <x v="4"/>
    <x v="4"/>
    <s v="Yes"/>
    <n v="3"/>
    <x v="3"/>
    <s v="North America"/>
    <n v="40"/>
    <x v="0"/>
    <x v="0"/>
  </r>
  <r>
    <n v="16871"/>
    <x v="0"/>
    <x v="0"/>
    <n v="90000"/>
    <n v="2"/>
    <x v="2"/>
    <x v="2"/>
    <s v="Yes"/>
    <n v="1"/>
    <x v="4"/>
    <s v="North America"/>
    <n v="51"/>
    <x v="0"/>
    <x v="1"/>
  </r>
  <r>
    <n v="12100"/>
    <x v="1"/>
    <x v="1"/>
    <n v="60000"/>
    <n v="2"/>
    <x v="0"/>
    <x v="4"/>
    <s v="Yes"/>
    <n v="0"/>
    <x v="4"/>
    <s v="North America"/>
    <n v="57"/>
    <x v="0"/>
    <x v="0"/>
  </r>
  <r>
    <n v="23158"/>
    <x v="0"/>
    <x v="0"/>
    <n v="60000"/>
    <n v="1"/>
    <x v="4"/>
    <x v="2"/>
    <s v="No"/>
    <n v="0"/>
    <x v="0"/>
    <s v="North America"/>
    <n v="35"/>
    <x v="0"/>
    <x v="1"/>
  </r>
  <r>
    <n v="18545"/>
    <x v="0"/>
    <x v="1"/>
    <n v="40000"/>
    <n v="4"/>
    <x v="2"/>
    <x v="2"/>
    <s v="No"/>
    <n v="2"/>
    <x v="4"/>
    <s v="North America"/>
    <n v="61"/>
    <x v="2"/>
    <x v="1"/>
  </r>
  <r>
    <n v="18391"/>
    <x v="1"/>
    <x v="0"/>
    <n v="80000"/>
    <n v="5"/>
    <x v="1"/>
    <x v="2"/>
    <s v="Yes"/>
    <n v="2"/>
    <x v="2"/>
    <s v="North America"/>
    <n v="44"/>
    <x v="0"/>
    <x v="0"/>
  </r>
  <r>
    <n v="19812"/>
    <x v="1"/>
    <x v="0"/>
    <n v="70000"/>
    <n v="2"/>
    <x v="1"/>
    <x v="2"/>
    <s v="Yes"/>
    <n v="0"/>
    <x v="2"/>
    <s v="North America"/>
    <n v="49"/>
    <x v="0"/>
    <x v="1"/>
  </r>
  <r>
    <n v="27660"/>
    <x v="0"/>
    <x v="1"/>
    <n v="80000"/>
    <n v="4"/>
    <x v="4"/>
    <x v="4"/>
    <s v="Yes"/>
    <n v="2"/>
    <x v="2"/>
    <s v="North America"/>
    <n v="70"/>
    <x v="0"/>
    <x v="0"/>
  </r>
  <r>
    <n v="18058"/>
    <x v="1"/>
    <x v="0"/>
    <n v="20000"/>
    <n v="3"/>
    <x v="2"/>
    <x v="0"/>
    <s v="Yes"/>
    <n v="2"/>
    <x v="1"/>
    <s v="North America"/>
    <n v="78"/>
    <x v="0"/>
    <x v="0"/>
  </r>
  <r>
    <n v="20343"/>
    <x v="0"/>
    <x v="0"/>
    <n v="90000"/>
    <n v="4"/>
    <x v="1"/>
    <x v="2"/>
    <s v="Yes"/>
    <n v="1"/>
    <x v="3"/>
    <s v="North America"/>
    <n v="45"/>
    <x v="0"/>
    <x v="0"/>
  </r>
  <r>
    <n v="28997"/>
    <x v="1"/>
    <x v="1"/>
    <n v="40000"/>
    <n v="2"/>
    <x v="2"/>
    <x v="2"/>
    <s v="No"/>
    <n v="1"/>
    <x v="1"/>
    <s v="North America"/>
    <n v="58"/>
    <x v="0"/>
    <x v="1"/>
  </r>
  <r>
    <n v="24398"/>
    <x v="0"/>
    <x v="1"/>
    <n v="130000"/>
    <n v="1"/>
    <x v="4"/>
    <x v="4"/>
    <s v="Yes"/>
    <n v="4"/>
    <x v="0"/>
    <s v="North America"/>
    <n v="41"/>
    <x v="0"/>
    <x v="0"/>
  </r>
  <r>
    <n v="19002"/>
    <x v="0"/>
    <x v="0"/>
    <n v="60000"/>
    <n v="2"/>
    <x v="1"/>
    <x v="2"/>
    <s v="Yes"/>
    <n v="1"/>
    <x v="1"/>
    <s v="North America"/>
    <n v="57"/>
    <x v="2"/>
    <x v="1"/>
  </r>
  <r>
    <n v="28609"/>
    <x v="0"/>
    <x v="1"/>
    <n v="30000"/>
    <n v="2"/>
    <x v="2"/>
    <x v="0"/>
    <s v="No"/>
    <n v="2"/>
    <x v="0"/>
    <s v="North America"/>
    <n v="49"/>
    <x v="0"/>
    <x v="0"/>
  </r>
  <r>
    <n v="29231"/>
    <x v="1"/>
    <x v="1"/>
    <n v="80000"/>
    <n v="4"/>
    <x v="1"/>
    <x v="2"/>
    <s v="No"/>
    <n v="2"/>
    <x v="0"/>
    <s v="North America"/>
    <n v="43"/>
    <x v="0"/>
    <x v="0"/>
  </r>
  <r>
    <n v="18858"/>
    <x v="1"/>
    <x v="1"/>
    <n v="60000"/>
    <n v="2"/>
    <x v="3"/>
    <x v="0"/>
    <s v="Yes"/>
    <n v="2"/>
    <x v="2"/>
    <s v="North America"/>
    <n v="52"/>
    <x v="0"/>
    <x v="1"/>
  </r>
  <r>
    <n v="20000"/>
    <x v="0"/>
    <x v="1"/>
    <n v="60000"/>
    <n v="1"/>
    <x v="4"/>
    <x v="2"/>
    <s v="Yes"/>
    <n v="0"/>
    <x v="0"/>
    <s v="North America"/>
    <n v="35"/>
    <x v="0"/>
    <x v="1"/>
  </r>
  <r>
    <n v="25261"/>
    <x v="0"/>
    <x v="1"/>
    <n v="40000"/>
    <n v="0"/>
    <x v="2"/>
    <x v="0"/>
    <s v="Yes"/>
    <n v="2"/>
    <x v="2"/>
    <s v="North America"/>
    <n v="27"/>
    <x v="0"/>
    <x v="0"/>
  </r>
  <r>
    <n v="17458"/>
    <x v="1"/>
    <x v="1"/>
    <n v="70000"/>
    <n v="3"/>
    <x v="2"/>
    <x v="2"/>
    <s v="Yes"/>
    <n v="0"/>
    <x v="2"/>
    <s v="North America"/>
    <n v="52"/>
    <x v="0"/>
    <x v="1"/>
  </r>
  <r>
    <n v="11644"/>
    <x v="1"/>
    <x v="1"/>
    <n v="40000"/>
    <n v="2"/>
    <x v="0"/>
    <x v="0"/>
    <s v="Yes"/>
    <n v="0"/>
    <x v="1"/>
    <s v="North America"/>
    <n v="36"/>
    <x v="2"/>
    <x v="0"/>
  </r>
  <r>
    <n v="16145"/>
    <x v="1"/>
    <x v="0"/>
    <n v="70000"/>
    <n v="5"/>
    <x v="4"/>
    <x v="2"/>
    <s v="Yes"/>
    <n v="3"/>
    <x v="4"/>
    <s v="North America"/>
    <n v="46"/>
    <x v="0"/>
    <x v="1"/>
  </r>
  <r>
    <n v="16890"/>
    <x v="0"/>
    <x v="1"/>
    <n v="60000"/>
    <n v="3"/>
    <x v="3"/>
    <x v="0"/>
    <s v="Yes"/>
    <n v="2"/>
    <x v="2"/>
    <s v="North America"/>
    <n v="52"/>
    <x v="1"/>
    <x v="1"/>
  </r>
  <r>
    <n v="25983"/>
    <x v="0"/>
    <x v="1"/>
    <n v="70000"/>
    <n v="0"/>
    <x v="0"/>
    <x v="2"/>
    <s v="No"/>
    <n v="1"/>
    <x v="0"/>
    <s v="North America"/>
    <n v="43"/>
    <x v="0"/>
    <x v="0"/>
  </r>
  <r>
    <n v="14633"/>
    <x v="0"/>
    <x v="1"/>
    <n v="60000"/>
    <n v="1"/>
    <x v="1"/>
    <x v="0"/>
    <s v="Yes"/>
    <n v="1"/>
    <x v="1"/>
    <s v="North America"/>
    <n v="44"/>
    <x v="1"/>
    <x v="0"/>
  </r>
  <r>
    <n v="22994"/>
    <x v="0"/>
    <x v="0"/>
    <n v="80000"/>
    <n v="0"/>
    <x v="0"/>
    <x v="4"/>
    <s v="Yes"/>
    <n v="1"/>
    <x v="3"/>
    <s v="North America"/>
    <n v="34"/>
    <x v="2"/>
    <x v="1"/>
  </r>
  <r>
    <n v="22983"/>
    <x v="1"/>
    <x v="0"/>
    <n v="30000"/>
    <n v="0"/>
    <x v="3"/>
    <x v="1"/>
    <s v="Yes"/>
    <n v="2"/>
    <x v="2"/>
    <s v="North America"/>
    <n v="27"/>
    <x v="1"/>
    <x v="0"/>
  </r>
  <r>
    <n v="25184"/>
    <x v="1"/>
    <x v="1"/>
    <n v="110000"/>
    <n v="1"/>
    <x v="1"/>
    <x v="2"/>
    <s v="Yes"/>
    <n v="4"/>
    <x v="2"/>
    <s v="North America"/>
    <n v="45"/>
    <x v="2"/>
    <x v="1"/>
  </r>
  <r>
    <n v="14469"/>
    <x v="0"/>
    <x v="0"/>
    <n v="100000"/>
    <n v="3"/>
    <x v="1"/>
    <x v="2"/>
    <s v="Yes"/>
    <n v="4"/>
    <x v="3"/>
    <s v="North America"/>
    <n v="45"/>
    <x v="1"/>
    <x v="0"/>
  </r>
  <r>
    <n v="11538"/>
    <x v="1"/>
    <x v="0"/>
    <n v="60000"/>
    <n v="4"/>
    <x v="4"/>
    <x v="0"/>
    <s v="No"/>
    <n v="0"/>
    <x v="0"/>
    <s v="North America"/>
    <n v="47"/>
    <x v="0"/>
    <x v="1"/>
  </r>
  <r>
    <n v="16245"/>
    <x v="1"/>
    <x v="0"/>
    <n v="80000"/>
    <n v="4"/>
    <x v="4"/>
    <x v="0"/>
    <s v="Yes"/>
    <n v="0"/>
    <x v="3"/>
    <s v="North America"/>
    <n v="47"/>
    <x v="0"/>
    <x v="0"/>
  </r>
  <r>
    <n v="17858"/>
    <x v="0"/>
    <x v="1"/>
    <n v="40000"/>
    <n v="4"/>
    <x v="2"/>
    <x v="0"/>
    <s v="Yes"/>
    <n v="2"/>
    <x v="1"/>
    <s v="North America"/>
    <n v="44"/>
    <x v="2"/>
    <x v="1"/>
  </r>
  <r>
    <n v="25347"/>
    <x v="1"/>
    <x v="0"/>
    <n v="20000"/>
    <n v="3"/>
    <x v="3"/>
    <x v="1"/>
    <s v="No"/>
    <n v="2"/>
    <x v="0"/>
    <s v="North America"/>
    <n v="49"/>
    <x v="0"/>
    <x v="0"/>
  </r>
  <r>
    <n v="15814"/>
    <x v="1"/>
    <x v="0"/>
    <n v="40000"/>
    <n v="0"/>
    <x v="2"/>
    <x v="0"/>
    <s v="Yes"/>
    <n v="1"/>
    <x v="2"/>
    <s v="North America"/>
    <n v="30"/>
    <x v="0"/>
    <x v="0"/>
  </r>
  <r>
    <n v="11259"/>
    <x v="0"/>
    <x v="0"/>
    <n v="100000"/>
    <n v="4"/>
    <x v="1"/>
    <x v="2"/>
    <s v="Yes"/>
    <n v="4"/>
    <x v="1"/>
    <s v="North America"/>
    <n v="41"/>
    <x v="0"/>
    <x v="1"/>
  </r>
  <r>
    <n v="11200"/>
    <x v="0"/>
    <x v="1"/>
    <n v="70000"/>
    <n v="4"/>
    <x v="0"/>
    <x v="4"/>
    <s v="Yes"/>
    <n v="1"/>
    <x v="3"/>
    <s v="North America"/>
    <n v="58"/>
    <x v="1"/>
    <x v="0"/>
  </r>
  <r>
    <n v="25101"/>
    <x v="0"/>
    <x v="1"/>
    <n v="60000"/>
    <n v="5"/>
    <x v="0"/>
    <x v="2"/>
    <s v="Yes"/>
    <n v="1"/>
    <x v="1"/>
    <s v="North America"/>
    <n v="47"/>
    <x v="0"/>
    <x v="0"/>
  </r>
  <r>
    <n v="21801"/>
    <x v="0"/>
    <x v="0"/>
    <n v="70000"/>
    <n v="4"/>
    <x v="1"/>
    <x v="2"/>
    <s v="Yes"/>
    <n v="1"/>
    <x v="3"/>
    <s v="North America"/>
    <n v="55"/>
    <x v="0"/>
    <x v="0"/>
  </r>
  <r>
    <n v="25943"/>
    <x v="1"/>
    <x v="0"/>
    <n v="70000"/>
    <n v="0"/>
    <x v="1"/>
    <x v="0"/>
    <s v="No"/>
    <n v="2"/>
    <x v="0"/>
    <s v="North America"/>
    <n v="27"/>
    <x v="2"/>
    <x v="1"/>
  </r>
  <r>
    <n v="22127"/>
    <x v="0"/>
    <x v="1"/>
    <n v="60000"/>
    <n v="3"/>
    <x v="4"/>
    <x v="4"/>
    <s v="Yes"/>
    <n v="2"/>
    <x v="3"/>
    <s v="North America"/>
    <n v="67"/>
    <x v="1"/>
    <x v="0"/>
  </r>
  <r>
    <n v="20414"/>
    <x v="0"/>
    <x v="0"/>
    <n v="60000"/>
    <n v="0"/>
    <x v="1"/>
    <x v="0"/>
    <s v="Yes"/>
    <n v="2"/>
    <x v="2"/>
    <s v="North America"/>
    <n v="29"/>
    <x v="1"/>
    <x v="0"/>
  </r>
  <r>
    <n v="23672"/>
    <x v="0"/>
    <x v="0"/>
    <n v="60000"/>
    <n v="3"/>
    <x v="4"/>
    <x v="4"/>
    <s v="Yes"/>
    <n v="2"/>
    <x v="3"/>
    <s v="North America"/>
    <n v="67"/>
    <x v="1"/>
    <x v="0"/>
  </r>
  <r>
    <n v="29255"/>
    <x v="1"/>
    <x v="1"/>
    <n v="80000"/>
    <n v="3"/>
    <x v="1"/>
    <x v="2"/>
    <s v="No"/>
    <n v="1"/>
    <x v="3"/>
    <s v="North America"/>
    <n v="51"/>
    <x v="1"/>
    <x v="1"/>
  </r>
  <r>
    <n v="28815"/>
    <x v="0"/>
    <x v="0"/>
    <n v="50000"/>
    <n v="1"/>
    <x v="4"/>
    <x v="0"/>
    <s v="Yes"/>
    <n v="0"/>
    <x v="0"/>
    <s v="North America"/>
    <n v="35"/>
    <x v="0"/>
    <x v="0"/>
  </r>
  <r>
    <n v="27753"/>
    <x v="0"/>
    <x v="1"/>
    <n v="40000"/>
    <n v="0"/>
    <x v="2"/>
    <x v="0"/>
    <s v="No"/>
    <n v="2"/>
    <x v="3"/>
    <s v="North America"/>
    <n v="30"/>
    <x v="0"/>
    <x v="0"/>
  </r>
  <r>
    <n v="27643"/>
    <x v="1"/>
    <x v="1"/>
    <n v="70000"/>
    <n v="5"/>
    <x v="1"/>
    <x v="2"/>
    <s v="Yes"/>
    <n v="3"/>
    <x v="1"/>
    <s v="North America"/>
    <n v="44"/>
    <x v="0"/>
    <x v="0"/>
  </r>
  <r>
    <n v="13754"/>
    <x v="1"/>
    <x v="0"/>
    <n v="80000"/>
    <n v="4"/>
    <x v="4"/>
    <x v="0"/>
    <s v="Yes"/>
    <n v="0"/>
    <x v="3"/>
    <s v="North America"/>
    <n v="48"/>
    <x v="0"/>
    <x v="0"/>
  </r>
  <r>
    <n v="22088"/>
    <x v="0"/>
    <x v="0"/>
    <n v="130000"/>
    <n v="1"/>
    <x v="0"/>
    <x v="4"/>
    <s v="Yes"/>
    <n v="2"/>
    <x v="0"/>
    <s v="North America"/>
    <n v="45"/>
    <x v="0"/>
    <x v="1"/>
  </r>
  <r>
    <n v="27388"/>
    <x v="0"/>
    <x v="1"/>
    <n v="60000"/>
    <n v="3"/>
    <x v="0"/>
    <x v="4"/>
    <s v="No"/>
    <n v="2"/>
    <x v="3"/>
    <s v="North America"/>
    <n v="66"/>
    <x v="0"/>
    <x v="0"/>
  </r>
  <r>
    <n v="24745"/>
    <x v="1"/>
    <x v="0"/>
    <n v="30000"/>
    <n v="2"/>
    <x v="2"/>
    <x v="0"/>
    <s v="No"/>
    <n v="2"/>
    <x v="0"/>
    <s v="North America"/>
    <n v="49"/>
    <x v="1"/>
    <x v="0"/>
  </r>
  <r>
    <n v="29237"/>
    <x v="1"/>
    <x v="0"/>
    <n v="120000"/>
    <n v="4"/>
    <x v="1"/>
    <x v="2"/>
    <s v="Yes"/>
    <n v="3"/>
    <x v="2"/>
    <s v="North America"/>
    <n v="43"/>
    <x v="0"/>
    <x v="1"/>
  </r>
  <r>
    <n v="15272"/>
    <x v="1"/>
    <x v="1"/>
    <n v="40000"/>
    <n v="0"/>
    <x v="2"/>
    <x v="0"/>
    <s v="No"/>
    <n v="2"/>
    <x v="3"/>
    <s v="North America"/>
    <n v="30"/>
    <x v="1"/>
    <x v="0"/>
  </r>
  <r>
    <n v="18949"/>
    <x v="1"/>
    <x v="1"/>
    <n v="70000"/>
    <n v="0"/>
    <x v="4"/>
    <x v="4"/>
    <s v="Yes"/>
    <n v="2"/>
    <x v="2"/>
    <s v="North America"/>
    <n v="74"/>
    <x v="0"/>
    <x v="1"/>
  </r>
  <r>
    <n v="14507"/>
    <x v="0"/>
    <x v="1"/>
    <n v="100000"/>
    <n v="2"/>
    <x v="4"/>
    <x v="4"/>
    <s v="Yes"/>
    <n v="3"/>
    <x v="3"/>
    <s v="North America"/>
    <n v="65"/>
    <x v="0"/>
    <x v="0"/>
  </r>
  <r>
    <n v="25886"/>
    <x v="0"/>
    <x v="0"/>
    <n v="60000"/>
    <n v="2"/>
    <x v="1"/>
    <x v="2"/>
    <s v="Yes"/>
    <n v="2"/>
    <x v="1"/>
    <s v="North America"/>
    <n v="56"/>
    <x v="0"/>
    <x v="1"/>
  </r>
  <r>
    <n v="21441"/>
    <x v="0"/>
    <x v="1"/>
    <n v="50000"/>
    <n v="4"/>
    <x v="0"/>
    <x v="4"/>
    <s v="Yes"/>
    <n v="2"/>
    <x v="4"/>
    <s v="North America"/>
    <n v="64"/>
    <x v="0"/>
    <x v="0"/>
  </r>
  <r>
    <n v="21741"/>
    <x v="0"/>
    <x v="0"/>
    <n v="70000"/>
    <n v="3"/>
    <x v="1"/>
    <x v="2"/>
    <s v="Yes"/>
    <n v="2"/>
    <x v="2"/>
    <s v="North America"/>
    <n v="50"/>
    <x v="0"/>
    <x v="1"/>
  </r>
  <r>
    <n v="14572"/>
    <x v="0"/>
    <x v="0"/>
    <n v="70000"/>
    <n v="3"/>
    <x v="4"/>
    <x v="2"/>
    <s v="Yes"/>
    <n v="0"/>
    <x v="1"/>
    <s v="North America"/>
    <n v="35"/>
    <x v="0"/>
    <x v="1"/>
  </r>
  <r>
    <n v="23368"/>
    <x v="0"/>
    <x v="0"/>
    <n v="60000"/>
    <n v="5"/>
    <x v="0"/>
    <x v="0"/>
    <s v="Yes"/>
    <n v="3"/>
    <x v="4"/>
    <s v="North America"/>
    <n v="41"/>
    <x v="0"/>
    <x v="0"/>
  </r>
  <r>
    <n v="16217"/>
    <x v="1"/>
    <x v="0"/>
    <n v="60000"/>
    <n v="0"/>
    <x v="4"/>
    <x v="0"/>
    <s v="Yes"/>
    <n v="0"/>
    <x v="0"/>
    <s v="North America"/>
    <n v="39"/>
    <x v="0"/>
    <x v="0"/>
  </r>
  <r>
    <n v="16247"/>
    <x v="1"/>
    <x v="0"/>
    <n v="60000"/>
    <n v="4"/>
    <x v="4"/>
    <x v="0"/>
    <s v="No"/>
    <n v="0"/>
    <x v="3"/>
    <s v="North America"/>
    <n v="47"/>
    <x v="1"/>
    <x v="0"/>
  </r>
  <r>
    <n v="22010"/>
    <x v="1"/>
    <x v="1"/>
    <n v="40000"/>
    <n v="0"/>
    <x v="2"/>
    <x v="0"/>
    <s v="Yes"/>
    <n v="2"/>
    <x v="2"/>
    <s v="North America"/>
    <n v="31"/>
    <x v="0"/>
    <x v="0"/>
  </r>
  <r>
    <n v="25872"/>
    <x v="1"/>
    <x v="0"/>
    <n v="70000"/>
    <n v="2"/>
    <x v="0"/>
    <x v="4"/>
    <s v="No"/>
    <n v="1"/>
    <x v="1"/>
    <s v="North America"/>
    <n v="58"/>
    <x v="2"/>
    <x v="1"/>
  </r>
  <r>
    <n v="19164"/>
    <x v="1"/>
    <x v="0"/>
    <n v="70000"/>
    <n v="0"/>
    <x v="0"/>
    <x v="2"/>
    <s v="No"/>
    <n v="1"/>
    <x v="1"/>
    <s v="North America"/>
    <n v="38"/>
    <x v="0"/>
    <x v="1"/>
  </r>
  <r>
    <n v="18435"/>
    <x v="1"/>
    <x v="0"/>
    <n v="70000"/>
    <n v="5"/>
    <x v="4"/>
    <x v="4"/>
    <s v="Yes"/>
    <n v="2"/>
    <x v="4"/>
    <s v="North America"/>
    <n v="67"/>
    <x v="0"/>
    <x v="1"/>
  </r>
  <r>
    <n v="14284"/>
    <x v="1"/>
    <x v="1"/>
    <n v="60000"/>
    <n v="0"/>
    <x v="1"/>
    <x v="2"/>
    <s v="No"/>
    <n v="2"/>
    <x v="3"/>
    <s v="North America"/>
    <n v="32"/>
    <x v="0"/>
    <x v="1"/>
  </r>
  <r>
    <n v="11287"/>
    <x v="0"/>
    <x v="1"/>
    <n v="70000"/>
    <n v="5"/>
    <x v="1"/>
    <x v="2"/>
    <s v="No"/>
    <n v="3"/>
    <x v="2"/>
    <s v="North America"/>
    <n v="45"/>
    <x v="0"/>
    <x v="0"/>
  </r>
  <r>
    <n v="13066"/>
    <x v="1"/>
    <x v="1"/>
    <n v="30000"/>
    <n v="0"/>
    <x v="2"/>
    <x v="0"/>
    <s v="No"/>
    <n v="2"/>
    <x v="3"/>
    <s v="North America"/>
    <n v="31"/>
    <x v="0"/>
    <x v="1"/>
  </r>
  <r>
    <n v="29106"/>
    <x v="1"/>
    <x v="1"/>
    <n v="40000"/>
    <n v="0"/>
    <x v="2"/>
    <x v="0"/>
    <s v="No"/>
    <n v="2"/>
    <x v="3"/>
    <s v="North America"/>
    <n v="31"/>
    <x v="1"/>
    <x v="1"/>
  </r>
  <r>
    <n v="26236"/>
    <x v="0"/>
    <x v="0"/>
    <n v="40000"/>
    <n v="3"/>
    <x v="1"/>
    <x v="1"/>
    <s v="Yes"/>
    <n v="1"/>
    <x v="0"/>
    <s v="North America"/>
    <n v="31"/>
    <x v="0"/>
    <x v="0"/>
  </r>
  <r>
    <n v="17531"/>
    <x v="0"/>
    <x v="1"/>
    <n v="60000"/>
    <n v="2"/>
    <x v="2"/>
    <x v="2"/>
    <s v="No"/>
    <n v="2"/>
    <x v="2"/>
    <s v="North America"/>
    <n v="50"/>
    <x v="0"/>
    <x v="0"/>
  </r>
  <r>
    <n v="12964"/>
    <x v="0"/>
    <x v="1"/>
    <n v="70000"/>
    <n v="1"/>
    <x v="1"/>
    <x v="0"/>
    <s v="Yes"/>
    <n v="1"/>
    <x v="0"/>
    <s v="North America"/>
    <n v="44"/>
    <x v="1"/>
    <x v="0"/>
  </r>
  <r>
    <n v="19133"/>
    <x v="1"/>
    <x v="1"/>
    <n v="50000"/>
    <n v="2"/>
    <x v="0"/>
    <x v="0"/>
    <s v="Yes"/>
    <n v="1"/>
    <x v="1"/>
    <s v="North America"/>
    <n v="38"/>
    <x v="0"/>
    <x v="1"/>
  </r>
  <r>
    <n v="24643"/>
    <x v="1"/>
    <x v="0"/>
    <n v="60000"/>
    <n v="4"/>
    <x v="0"/>
    <x v="4"/>
    <s v="Yes"/>
    <n v="2"/>
    <x v="4"/>
    <s v="North America"/>
    <n v="63"/>
    <x v="2"/>
    <x v="0"/>
  </r>
  <r>
    <n v="21599"/>
    <x v="0"/>
    <x v="0"/>
    <n v="60000"/>
    <n v="1"/>
    <x v="4"/>
    <x v="2"/>
    <s v="Yes"/>
    <n v="0"/>
    <x v="1"/>
    <s v="North America"/>
    <n v="36"/>
    <x v="0"/>
    <x v="1"/>
  </r>
  <r>
    <n v="22976"/>
    <x v="1"/>
    <x v="1"/>
    <n v="40000"/>
    <n v="0"/>
    <x v="2"/>
    <x v="0"/>
    <s v="No"/>
    <n v="2"/>
    <x v="0"/>
    <s v="North America"/>
    <n v="28"/>
    <x v="0"/>
    <x v="1"/>
  </r>
  <r>
    <n v="27637"/>
    <x v="1"/>
    <x v="0"/>
    <n v="100000"/>
    <n v="1"/>
    <x v="1"/>
    <x v="2"/>
    <s v="No"/>
    <n v="3"/>
    <x v="3"/>
    <s v="North America"/>
    <n v="44"/>
    <x v="0"/>
    <x v="0"/>
  </r>
  <r>
    <n v="11890"/>
    <x v="0"/>
    <x v="0"/>
    <n v="70000"/>
    <n v="5"/>
    <x v="4"/>
    <x v="2"/>
    <s v="Yes"/>
    <n v="1"/>
    <x v="0"/>
    <s v="North America"/>
    <n v="47"/>
    <x v="0"/>
    <x v="0"/>
  </r>
  <r>
    <n v="28580"/>
    <x v="0"/>
    <x v="0"/>
    <n v="80000"/>
    <n v="0"/>
    <x v="4"/>
    <x v="0"/>
    <s v="Yes"/>
    <n v="0"/>
    <x v="3"/>
    <s v="North America"/>
    <n v="40"/>
    <x v="0"/>
    <x v="1"/>
  </r>
  <r>
    <n v="14443"/>
    <x v="0"/>
    <x v="1"/>
    <n v="130000"/>
    <n v="1"/>
    <x v="4"/>
    <x v="4"/>
    <s v="Yes"/>
    <n v="4"/>
    <x v="0"/>
    <s v="North America"/>
    <n v="40"/>
    <x v="1"/>
    <x v="0"/>
  </r>
  <r>
    <n v="17864"/>
    <x v="0"/>
    <x v="0"/>
    <n v="60000"/>
    <n v="1"/>
    <x v="1"/>
    <x v="0"/>
    <s v="Yes"/>
    <n v="1"/>
    <x v="1"/>
    <s v="North America"/>
    <n v="46"/>
    <x v="1"/>
    <x v="1"/>
  </r>
  <r>
    <n v="20505"/>
    <x v="0"/>
    <x v="0"/>
    <n v="40000"/>
    <n v="5"/>
    <x v="2"/>
    <x v="2"/>
    <s v="No"/>
    <n v="2"/>
    <x v="4"/>
    <s v="North America"/>
    <n v="61"/>
    <x v="0"/>
    <x v="0"/>
  </r>
  <r>
    <n v="14592"/>
    <x v="0"/>
    <x v="0"/>
    <n v="60000"/>
    <n v="0"/>
    <x v="4"/>
    <x v="2"/>
    <s v="Yes"/>
    <n v="0"/>
    <x v="0"/>
    <s v="North America"/>
    <n v="40"/>
    <x v="0"/>
    <x v="0"/>
  </r>
  <r>
    <n v="22227"/>
    <x v="0"/>
    <x v="0"/>
    <n v="60000"/>
    <n v="2"/>
    <x v="2"/>
    <x v="2"/>
    <s v="Yes"/>
    <n v="2"/>
    <x v="2"/>
    <s v="North America"/>
    <n v="50"/>
    <x v="0"/>
    <x v="0"/>
  </r>
  <r>
    <n v="21471"/>
    <x v="0"/>
    <x v="1"/>
    <n v="70000"/>
    <n v="2"/>
    <x v="1"/>
    <x v="2"/>
    <s v="Yes"/>
    <n v="1"/>
    <x v="4"/>
    <s v="North America"/>
    <n v="59"/>
    <x v="0"/>
    <x v="0"/>
  </r>
  <r>
    <n v="22252"/>
    <x v="1"/>
    <x v="0"/>
    <n v="60000"/>
    <n v="1"/>
    <x v="4"/>
    <x v="2"/>
    <s v="Yes"/>
    <n v="0"/>
    <x v="1"/>
    <s v="North America"/>
    <n v="36"/>
    <x v="0"/>
    <x v="1"/>
  </r>
  <r>
    <n v="21260"/>
    <x v="1"/>
    <x v="0"/>
    <n v="40000"/>
    <n v="0"/>
    <x v="2"/>
    <x v="0"/>
    <s v="Yes"/>
    <n v="2"/>
    <x v="2"/>
    <s v="North America"/>
    <n v="30"/>
    <x v="0"/>
    <x v="0"/>
  </r>
  <r>
    <n v="11817"/>
    <x v="1"/>
    <x v="0"/>
    <n v="70000"/>
    <n v="4"/>
    <x v="4"/>
    <x v="2"/>
    <s v="Yes"/>
    <n v="0"/>
    <x v="1"/>
    <s v="North America"/>
    <n v="35"/>
    <x v="0"/>
    <x v="1"/>
  </r>
  <r>
    <n v="19223"/>
    <x v="0"/>
    <x v="0"/>
    <n v="30000"/>
    <n v="2"/>
    <x v="2"/>
    <x v="0"/>
    <s v="Yes"/>
    <n v="2"/>
    <x v="3"/>
    <s v="North America"/>
    <n v="48"/>
    <x v="2"/>
    <x v="0"/>
  </r>
  <r>
    <n v="18517"/>
    <x v="0"/>
    <x v="1"/>
    <n v="100000"/>
    <n v="3"/>
    <x v="0"/>
    <x v="4"/>
    <s v="Yes"/>
    <n v="4"/>
    <x v="0"/>
    <s v="North America"/>
    <n v="41"/>
    <x v="2"/>
    <x v="0"/>
  </r>
  <r>
    <n v="21717"/>
    <x v="0"/>
    <x v="1"/>
    <n v="40000"/>
    <n v="2"/>
    <x v="1"/>
    <x v="1"/>
    <s v="Yes"/>
    <n v="1"/>
    <x v="0"/>
    <s v="North America"/>
    <n v="47"/>
    <x v="2"/>
    <x v="0"/>
  </r>
  <r>
    <n v="13760"/>
    <x v="0"/>
    <x v="1"/>
    <n v="60000"/>
    <n v="4"/>
    <x v="4"/>
    <x v="0"/>
    <s v="No"/>
    <n v="0"/>
    <x v="0"/>
    <s v="North America"/>
    <n v="47"/>
    <x v="0"/>
    <x v="0"/>
  </r>
  <r>
    <n v="18145"/>
    <x v="0"/>
    <x v="1"/>
    <n v="80000"/>
    <n v="5"/>
    <x v="0"/>
    <x v="4"/>
    <s v="No"/>
    <n v="2"/>
    <x v="1"/>
    <s v="Europe"/>
    <n v="62"/>
    <x v="0"/>
    <x v="0"/>
  </r>
  <r>
    <n v="21770"/>
    <x v="0"/>
    <x v="1"/>
    <n v="60000"/>
    <n v="4"/>
    <x v="0"/>
    <x v="4"/>
    <s v="Yes"/>
    <n v="2"/>
    <x v="4"/>
    <s v="North America"/>
    <n v="60"/>
    <x v="0"/>
    <x v="0"/>
  </r>
  <r>
    <n v="11165"/>
    <x v="0"/>
    <x v="0"/>
    <n v="60000"/>
    <n v="0"/>
    <x v="1"/>
    <x v="0"/>
    <s v="No"/>
    <n v="1"/>
    <x v="3"/>
    <s v="North America"/>
    <n v="33"/>
    <x v="0"/>
    <x v="0"/>
  </r>
  <r>
    <n v="16377"/>
    <x v="1"/>
    <x v="0"/>
    <n v="80000"/>
    <n v="4"/>
    <x v="4"/>
    <x v="0"/>
    <s v="No"/>
    <n v="0"/>
    <x v="0"/>
    <s v="North America"/>
    <n v="47"/>
    <x v="0"/>
    <x v="0"/>
  </r>
  <r>
    <n v="26248"/>
    <x v="0"/>
    <x v="1"/>
    <n v="20000"/>
    <n v="3"/>
    <x v="3"/>
    <x v="1"/>
    <s v="No"/>
    <n v="2"/>
    <x v="0"/>
    <s v="North America"/>
    <n v="52"/>
    <x v="0"/>
    <x v="0"/>
  </r>
  <r>
    <n v="23461"/>
    <x v="0"/>
    <x v="0"/>
    <n v="90000"/>
    <n v="5"/>
    <x v="1"/>
    <x v="2"/>
    <s v="Yes"/>
    <n v="3"/>
    <x v="1"/>
    <s v="North America"/>
    <n v="40"/>
    <x v="2"/>
    <x v="0"/>
  </r>
  <r>
    <n v="29133"/>
    <x v="1"/>
    <x v="0"/>
    <n v="60000"/>
    <n v="4"/>
    <x v="0"/>
    <x v="0"/>
    <s v="No"/>
    <n v="2"/>
    <x v="0"/>
    <s v="North America"/>
    <n v="42"/>
    <x v="2"/>
    <x v="0"/>
  </r>
  <r>
    <n v="27673"/>
    <x v="1"/>
    <x v="0"/>
    <n v="60000"/>
    <n v="3"/>
    <x v="4"/>
    <x v="4"/>
    <s v="Yes"/>
    <n v="2"/>
    <x v="2"/>
    <s v="North America"/>
    <n v="53"/>
    <x v="0"/>
    <x v="1"/>
  </r>
  <r>
    <n v="12774"/>
    <x v="0"/>
    <x v="0"/>
    <n v="40000"/>
    <n v="1"/>
    <x v="1"/>
    <x v="1"/>
    <s v="Yes"/>
    <n v="1"/>
    <x v="3"/>
    <s v="North America"/>
    <n v="51"/>
    <x v="0"/>
    <x v="1"/>
  </r>
  <r>
    <n v="18910"/>
    <x v="1"/>
    <x v="1"/>
    <n v="30000"/>
    <n v="0"/>
    <x v="1"/>
    <x v="0"/>
    <s v="Yes"/>
    <n v="2"/>
    <x v="2"/>
    <s v="North America"/>
    <n v="30"/>
    <x v="1"/>
    <x v="0"/>
  </r>
  <r>
    <n v="11699"/>
    <x v="1"/>
    <x v="1"/>
    <n v="60000"/>
    <n v="0"/>
    <x v="0"/>
    <x v="0"/>
    <s v="No"/>
    <n v="2"/>
    <x v="0"/>
    <s v="North America"/>
    <n v="30"/>
    <x v="2"/>
    <x v="0"/>
  </r>
  <r>
    <n v="16725"/>
    <x v="0"/>
    <x v="1"/>
    <n v="30000"/>
    <n v="0"/>
    <x v="2"/>
    <x v="0"/>
    <s v="Yes"/>
    <n v="2"/>
    <x v="2"/>
    <s v="North America"/>
    <n v="26"/>
    <x v="0"/>
    <x v="0"/>
  </r>
  <r>
    <n v="28269"/>
    <x v="1"/>
    <x v="0"/>
    <n v="130000"/>
    <n v="1"/>
    <x v="0"/>
    <x v="4"/>
    <s v="No"/>
    <n v="1"/>
    <x v="1"/>
    <s v="North America"/>
    <n v="45"/>
    <x v="0"/>
    <x v="0"/>
  </r>
  <r>
    <n v="23144"/>
    <x v="0"/>
    <x v="1"/>
    <n v="50000"/>
    <n v="1"/>
    <x v="0"/>
    <x v="0"/>
    <s v="Yes"/>
    <n v="0"/>
    <x v="0"/>
    <s v="North America"/>
    <n v="34"/>
    <x v="0"/>
    <x v="1"/>
  </r>
  <r>
    <n v="23376"/>
    <x v="0"/>
    <x v="1"/>
    <n v="70000"/>
    <n v="1"/>
    <x v="0"/>
    <x v="2"/>
    <s v="Yes"/>
    <n v="1"/>
    <x v="1"/>
    <s v="North America"/>
    <n v="44"/>
    <x v="1"/>
    <x v="1"/>
  </r>
  <r>
    <n v="25970"/>
    <x v="1"/>
    <x v="0"/>
    <n v="60000"/>
    <n v="4"/>
    <x v="0"/>
    <x v="0"/>
    <s v="No"/>
    <n v="2"/>
    <x v="0"/>
    <s v="North America"/>
    <n v="41"/>
    <x v="0"/>
    <x v="1"/>
  </r>
  <r>
    <n v="28068"/>
    <x v="1"/>
    <x v="0"/>
    <n v="80000"/>
    <n v="3"/>
    <x v="4"/>
    <x v="2"/>
    <s v="No"/>
    <n v="0"/>
    <x v="0"/>
    <s v="North America"/>
    <n v="36"/>
    <x v="0"/>
    <x v="1"/>
  </r>
  <r>
    <n v="18390"/>
    <x v="0"/>
    <x v="1"/>
    <n v="80000"/>
    <n v="5"/>
    <x v="1"/>
    <x v="2"/>
    <s v="Yes"/>
    <n v="2"/>
    <x v="0"/>
    <s v="North America"/>
    <n v="44"/>
    <x v="1"/>
    <x v="0"/>
  </r>
  <r>
    <n v="29112"/>
    <x v="1"/>
    <x v="1"/>
    <n v="60000"/>
    <n v="0"/>
    <x v="1"/>
    <x v="2"/>
    <s v="No"/>
    <n v="2"/>
    <x v="3"/>
    <s v="North America"/>
    <n v="30"/>
    <x v="1"/>
    <x v="0"/>
  </r>
  <r>
    <n v="14090"/>
    <x v="0"/>
    <x v="0"/>
    <n v="30000"/>
    <n v="0"/>
    <x v="3"/>
    <x v="1"/>
    <s v="No"/>
    <n v="2"/>
    <x v="0"/>
    <s v="North America"/>
    <n v="28"/>
    <x v="0"/>
    <x v="0"/>
  </r>
  <r>
    <n v="27040"/>
    <x v="0"/>
    <x v="1"/>
    <n v="20000"/>
    <n v="2"/>
    <x v="3"/>
    <x v="1"/>
    <s v="Yes"/>
    <n v="2"/>
    <x v="3"/>
    <s v="North America"/>
    <n v="49"/>
    <x v="1"/>
    <x v="0"/>
  </r>
  <r>
    <n v="23479"/>
    <x v="1"/>
    <x v="1"/>
    <n v="90000"/>
    <n v="0"/>
    <x v="1"/>
    <x v="2"/>
    <s v="No"/>
    <n v="2"/>
    <x v="0"/>
    <s v="North America"/>
    <n v="43"/>
    <x v="1"/>
    <x v="1"/>
  </r>
  <r>
    <n v="16795"/>
    <x v="0"/>
    <x v="0"/>
    <n v="70000"/>
    <n v="4"/>
    <x v="0"/>
    <x v="4"/>
    <s v="Yes"/>
    <n v="1"/>
    <x v="3"/>
    <s v="North America"/>
    <n v="59"/>
    <x v="0"/>
    <x v="0"/>
  </r>
  <r>
    <n v="22014"/>
    <x v="1"/>
    <x v="1"/>
    <n v="30000"/>
    <n v="0"/>
    <x v="2"/>
    <x v="0"/>
    <s v="Yes"/>
    <n v="2"/>
    <x v="2"/>
    <s v="North America"/>
    <n v="26"/>
    <x v="2"/>
    <x v="0"/>
  </r>
  <r>
    <n v="13314"/>
    <x v="0"/>
    <x v="1"/>
    <n v="120000"/>
    <n v="1"/>
    <x v="2"/>
    <x v="2"/>
    <s v="Yes"/>
    <n v="4"/>
    <x v="2"/>
    <s v="North America"/>
    <n v="46"/>
    <x v="0"/>
    <x v="1"/>
  </r>
  <r>
    <n v="11619"/>
    <x v="1"/>
    <x v="0"/>
    <n v="50000"/>
    <n v="0"/>
    <x v="4"/>
    <x v="0"/>
    <s v="Yes"/>
    <n v="0"/>
    <x v="3"/>
    <s v="North America"/>
    <n v="33"/>
    <x v="0"/>
    <x v="0"/>
  </r>
  <r>
    <n v="29132"/>
    <x v="1"/>
    <x v="0"/>
    <n v="40000"/>
    <n v="0"/>
    <x v="0"/>
    <x v="2"/>
    <s v="Yes"/>
    <n v="1"/>
    <x v="1"/>
    <s v="North America"/>
    <n v="42"/>
    <x v="0"/>
    <x v="1"/>
  </r>
  <r>
    <n v="11199"/>
    <x v="0"/>
    <x v="0"/>
    <n v="70000"/>
    <n v="4"/>
    <x v="0"/>
    <x v="4"/>
    <s v="Yes"/>
    <n v="1"/>
    <x v="4"/>
    <s v="North America"/>
    <n v="59"/>
    <x v="0"/>
    <x v="0"/>
  </r>
  <r>
    <n v="20296"/>
    <x v="1"/>
    <x v="0"/>
    <n v="60000"/>
    <n v="0"/>
    <x v="1"/>
    <x v="0"/>
    <s v="No"/>
    <n v="1"/>
    <x v="3"/>
    <s v="North America"/>
    <n v="33"/>
    <x v="0"/>
    <x v="1"/>
  </r>
  <r>
    <n v="17546"/>
    <x v="0"/>
    <x v="0"/>
    <n v="70000"/>
    <n v="1"/>
    <x v="1"/>
    <x v="0"/>
    <s v="Yes"/>
    <n v="1"/>
    <x v="0"/>
    <s v="North America"/>
    <n v="44"/>
    <x v="1"/>
    <x v="1"/>
  </r>
  <r>
    <n v="18069"/>
    <x v="0"/>
    <x v="1"/>
    <n v="70000"/>
    <n v="5"/>
    <x v="0"/>
    <x v="4"/>
    <s v="Yes"/>
    <n v="4"/>
    <x v="4"/>
    <s v="North America"/>
    <n v="60"/>
    <x v="0"/>
    <x v="0"/>
  </r>
  <r>
    <n v="23712"/>
    <x v="1"/>
    <x v="0"/>
    <n v="70000"/>
    <n v="2"/>
    <x v="0"/>
    <x v="4"/>
    <s v="Yes"/>
    <n v="1"/>
    <x v="4"/>
    <s v="North America"/>
    <n v="59"/>
    <x v="0"/>
    <x v="0"/>
  </r>
  <r>
    <n v="23358"/>
    <x v="0"/>
    <x v="1"/>
    <n v="60000"/>
    <n v="0"/>
    <x v="2"/>
    <x v="2"/>
    <s v="Yes"/>
    <n v="2"/>
    <x v="2"/>
    <s v="North America"/>
    <n v="32"/>
    <x v="0"/>
    <x v="1"/>
  </r>
  <r>
    <n v="20518"/>
    <x v="0"/>
    <x v="0"/>
    <n v="70000"/>
    <n v="2"/>
    <x v="1"/>
    <x v="2"/>
    <s v="Yes"/>
    <n v="1"/>
    <x v="4"/>
    <s v="North America"/>
    <n v="58"/>
    <x v="0"/>
    <x v="0"/>
  </r>
  <r>
    <n v="28026"/>
    <x v="0"/>
    <x v="0"/>
    <n v="40000"/>
    <n v="2"/>
    <x v="2"/>
    <x v="2"/>
    <s v="No"/>
    <n v="2"/>
    <x v="1"/>
    <s v="North America"/>
    <n v="59"/>
    <x v="0"/>
    <x v="0"/>
  </r>
  <r>
    <n v="11669"/>
    <x v="1"/>
    <x v="0"/>
    <n v="70000"/>
    <n v="2"/>
    <x v="0"/>
    <x v="0"/>
    <s v="Yes"/>
    <n v="1"/>
    <x v="1"/>
    <s v="North America"/>
    <n v="38"/>
    <x v="0"/>
    <x v="0"/>
  </r>
  <r>
    <n v="16020"/>
    <x v="0"/>
    <x v="1"/>
    <n v="40000"/>
    <n v="0"/>
    <x v="2"/>
    <x v="0"/>
    <s v="Yes"/>
    <n v="2"/>
    <x v="2"/>
    <s v="North America"/>
    <n v="28"/>
    <x v="0"/>
    <x v="1"/>
  </r>
  <r>
    <n v="27090"/>
    <x v="0"/>
    <x v="0"/>
    <n v="60000"/>
    <n v="1"/>
    <x v="4"/>
    <x v="2"/>
    <s v="Yes"/>
    <n v="0"/>
    <x v="1"/>
    <s v="North America"/>
    <n v="37"/>
    <x v="2"/>
    <x v="1"/>
  </r>
  <r>
    <n v="27198"/>
    <x v="1"/>
    <x v="0"/>
    <n v="80000"/>
    <n v="0"/>
    <x v="4"/>
    <x v="0"/>
    <s v="No"/>
    <n v="0"/>
    <x v="0"/>
    <s v="North America"/>
    <n v="40"/>
    <x v="0"/>
    <x v="0"/>
  </r>
  <r>
    <n v="19661"/>
    <x v="1"/>
    <x v="1"/>
    <n v="90000"/>
    <n v="4"/>
    <x v="0"/>
    <x v="4"/>
    <s v="Yes"/>
    <n v="1"/>
    <x v="3"/>
    <s v="North America"/>
    <n v="38"/>
    <x v="0"/>
    <x v="1"/>
  </r>
  <r>
    <n v="26327"/>
    <x v="0"/>
    <x v="1"/>
    <n v="70000"/>
    <n v="4"/>
    <x v="4"/>
    <x v="2"/>
    <s v="Yes"/>
    <n v="0"/>
    <x v="1"/>
    <s v="North America"/>
    <n v="36"/>
    <x v="0"/>
    <x v="1"/>
  </r>
  <r>
    <n v="26341"/>
    <x v="0"/>
    <x v="0"/>
    <n v="70000"/>
    <n v="5"/>
    <x v="4"/>
    <x v="2"/>
    <s v="Yes"/>
    <n v="2"/>
    <x v="0"/>
    <s v="North America"/>
    <n v="37"/>
    <x v="0"/>
    <x v="0"/>
  </r>
  <r>
    <n v="24958"/>
    <x v="1"/>
    <x v="0"/>
    <n v="40000"/>
    <n v="5"/>
    <x v="2"/>
    <x v="2"/>
    <s v="No"/>
    <n v="3"/>
    <x v="1"/>
    <s v="North America"/>
    <n v="60"/>
    <x v="0"/>
    <x v="1"/>
  </r>
  <r>
    <n v="13287"/>
    <x v="1"/>
    <x v="1"/>
    <n v="110000"/>
    <n v="4"/>
    <x v="0"/>
    <x v="4"/>
    <s v="Yes"/>
    <n v="4"/>
    <x v="2"/>
    <s v="North America"/>
    <n v="42"/>
    <x v="0"/>
    <x v="1"/>
  </r>
  <r>
    <n v="14493"/>
    <x v="1"/>
    <x v="0"/>
    <n v="70000"/>
    <n v="3"/>
    <x v="4"/>
    <x v="4"/>
    <s v="No"/>
    <n v="2"/>
    <x v="3"/>
    <s v="North America"/>
    <n v="53"/>
    <x v="2"/>
    <x v="0"/>
  </r>
  <r>
    <n v="26678"/>
    <x v="1"/>
    <x v="0"/>
    <n v="80000"/>
    <n v="2"/>
    <x v="3"/>
    <x v="0"/>
    <s v="Yes"/>
    <n v="2"/>
    <x v="2"/>
    <s v="North America"/>
    <n v="49"/>
    <x v="0"/>
    <x v="0"/>
  </r>
  <r>
    <n v="23275"/>
    <x v="0"/>
    <x v="1"/>
    <n v="30000"/>
    <n v="2"/>
    <x v="2"/>
    <x v="0"/>
    <s v="Yes"/>
    <n v="2"/>
    <x v="3"/>
    <s v="North America"/>
    <n v="49"/>
    <x v="0"/>
    <x v="0"/>
  </r>
  <r>
    <n v="11270"/>
    <x v="0"/>
    <x v="1"/>
    <n v="130000"/>
    <n v="2"/>
    <x v="4"/>
    <x v="4"/>
    <s v="Yes"/>
    <n v="3"/>
    <x v="0"/>
    <s v="North America"/>
    <n v="42"/>
    <x v="0"/>
    <x v="1"/>
  </r>
  <r>
    <n v="20084"/>
    <x v="0"/>
    <x v="1"/>
    <n v="20000"/>
    <n v="2"/>
    <x v="2"/>
    <x v="3"/>
    <s v="No"/>
    <n v="2"/>
    <x v="0"/>
    <s v="North America"/>
    <n v="53"/>
    <x v="1"/>
    <x v="0"/>
  </r>
  <r>
    <n v="16144"/>
    <x v="0"/>
    <x v="1"/>
    <n v="70000"/>
    <n v="1"/>
    <x v="4"/>
    <x v="2"/>
    <s v="Yes"/>
    <n v="1"/>
    <x v="0"/>
    <s v="North America"/>
    <n v="46"/>
    <x v="2"/>
    <x v="1"/>
  </r>
  <r>
    <n v="27731"/>
    <x v="0"/>
    <x v="1"/>
    <n v="40000"/>
    <n v="0"/>
    <x v="2"/>
    <x v="0"/>
    <s v="Yes"/>
    <n v="2"/>
    <x v="2"/>
    <s v="North America"/>
    <n v="27"/>
    <x v="0"/>
    <x v="0"/>
  </r>
  <r>
    <n v="11886"/>
    <x v="0"/>
    <x v="0"/>
    <n v="60000"/>
    <n v="3"/>
    <x v="0"/>
    <x v="2"/>
    <s v="Yes"/>
    <n v="1"/>
    <x v="0"/>
    <s v="North America"/>
    <n v="48"/>
    <x v="2"/>
    <x v="1"/>
  </r>
  <r>
    <n v="24324"/>
    <x v="1"/>
    <x v="0"/>
    <n v="60000"/>
    <n v="4"/>
    <x v="0"/>
    <x v="0"/>
    <s v="Yes"/>
    <n v="2"/>
    <x v="1"/>
    <s v="North America"/>
    <n v="41"/>
    <x v="0"/>
    <x v="1"/>
  </r>
  <r>
    <n v="22220"/>
    <x v="0"/>
    <x v="1"/>
    <n v="60000"/>
    <n v="2"/>
    <x v="2"/>
    <x v="2"/>
    <s v="No"/>
    <n v="2"/>
    <x v="3"/>
    <s v="North America"/>
    <n v="49"/>
    <x v="1"/>
    <x v="1"/>
  </r>
  <r>
    <n v="26625"/>
    <x v="1"/>
    <x v="0"/>
    <n v="60000"/>
    <n v="0"/>
    <x v="4"/>
    <x v="2"/>
    <s v="Yes"/>
    <n v="1"/>
    <x v="1"/>
    <s v="North America"/>
    <n v="38"/>
    <x v="0"/>
    <x v="1"/>
  </r>
  <r>
    <n v="23027"/>
    <x v="1"/>
    <x v="1"/>
    <n v="130000"/>
    <n v="1"/>
    <x v="0"/>
    <x v="4"/>
    <s v="No"/>
    <n v="4"/>
    <x v="0"/>
    <s v="North America"/>
    <n v="44"/>
    <x v="1"/>
    <x v="0"/>
  </r>
  <r>
    <n v="16867"/>
    <x v="1"/>
    <x v="0"/>
    <n v="130000"/>
    <n v="1"/>
    <x v="0"/>
    <x v="4"/>
    <s v="No"/>
    <n v="3"/>
    <x v="0"/>
    <s v="North America"/>
    <n v="45"/>
    <x v="0"/>
    <x v="1"/>
  </r>
  <r>
    <n v="14514"/>
    <x v="1"/>
    <x v="0"/>
    <n v="30000"/>
    <n v="0"/>
    <x v="1"/>
    <x v="0"/>
    <s v="Yes"/>
    <n v="1"/>
    <x v="2"/>
    <s v="North America"/>
    <n v="26"/>
    <x v="1"/>
    <x v="0"/>
  </r>
  <r>
    <n v="19634"/>
    <x v="0"/>
    <x v="1"/>
    <n v="40000"/>
    <n v="0"/>
    <x v="2"/>
    <x v="0"/>
    <s v="Yes"/>
    <n v="1"/>
    <x v="2"/>
    <s v="North America"/>
    <n v="31"/>
    <x v="1"/>
    <x v="0"/>
  </r>
  <r>
    <n v="18504"/>
    <x v="0"/>
    <x v="1"/>
    <n v="70000"/>
    <n v="2"/>
    <x v="3"/>
    <x v="0"/>
    <s v="No"/>
    <n v="2"/>
    <x v="3"/>
    <s v="North America"/>
    <n v="49"/>
    <x v="0"/>
    <x v="0"/>
  </r>
  <r>
    <n v="28799"/>
    <x v="1"/>
    <x v="0"/>
    <n v="40000"/>
    <n v="2"/>
    <x v="1"/>
    <x v="1"/>
    <s v="No"/>
    <n v="1"/>
    <x v="3"/>
    <s v="North America"/>
    <n v="47"/>
    <x v="0"/>
    <x v="1"/>
  </r>
  <r>
    <n v="11225"/>
    <x v="0"/>
    <x v="0"/>
    <n v="60000"/>
    <n v="2"/>
    <x v="1"/>
    <x v="2"/>
    <s v="Yes"/>
    <n v="1"/>
    <x v="4"/>
    <s v="North America"/>
    <n v="55"/>
    <x v="0"/>
    <x v="0"/>
  </r>
  <r>
    <n v="17657"/>
    <x v="0"/>
    <x v="1"/>
    <n v="40000"/>
    <n v="4"/>
    <x v="1"/>
    <x v="1"/>
    <s v="No"/>
    <n v="0"/>
    <x v="0"/>
    <s v="North America"/>
    <n v="30"/>
    <x v="2"/>
    <x v="0"/>
  </r>
  <r>
    <n v="14913"/>
    <x v="0"/>
    <x v="0"/>
    <n v="40000"/>
    <n v="1"/>
    <x v="1"/>
    <x v="1"/>
    <s v="Yes"/>
    <n v="1"/>
    <x v="3"/>
    <s v="North America"/>
    <n v="48"/>
    <x v="1"/>
    <x v="1"/>
  </r>
  <r>
    <n v="14077"/>
    <x v="1"/>
    <x v="1"/>
    <n v="30000"/>
    <n v="0"/>
    <x v="2"/>
    <x v="0"/>
    <s v="Yes"/>
    <n v="2"/>
    <x v="2"/>
    <s v="North America"/>
    <n v="30"/>
    <x v="0"/>
    <x v="0"/>
  </r>
  <r>
    <n v="13296"/>
    <x v="0"/>
    <x v="1"/>
    <n v="110000"/>
    <n v="1"/>
    <x v="0"/>
    <x v="4"/>
    <s v="Yes"/>
    <n v="3"/>
    <x v="2"/>
    <s v="North America"/>
    <n v="45"/>
    <x v="0"/>
    <x v="0"/>
  </r>
  <r>
    <n v="20535"/>
    <x v="0"/>
    <x v="0"/>
    <n v="70000"/>
    <n v="4"/>
    <x v="1"/>
    <x v="2"/>
    <s v="Yes"/>
    <n v="1"/>
    <x v="4"/>
    <s v="North America"/>
    <n v="56"/>
    <x v="0"/>
    <x v="0"/>
  </r>
  <r>
    <n v="12452"/>
    <x v="0"/>
    <x v="1"/>
    <n v="60000"/>
    <n v="4"/>
    <x v="4"/>
    <x v="0"/>
    <s v="Yes"/>
    <n v="0"/>
    <x v="3"/>
    <s v="North America"/>
    <n v="47"/>
    <x v="0"/>
    <x v="1"/>
  </r>
  <r>
    <n v="28043"/>
    <x v="0"/>
    <x v="0"/>
    <n v="60000"/>
    <n v="2"/>
    <x v="0"/>
    <x v="4"/>
    <s v="Yes"/>
    <n v="0"/>
    <x v="4"/>
    <s v="North America"/>
    <n v="56"/>
    <x v="0"/>
    <x v="0"/>
  </r>
  <r>
    <n v="12957"/>
    <x v="1"/>
    <x v="0"/>
    <n v="70000"/>
    <n v="1"/>
    <x v="0"/>
    <x v="2"/>
    <s v="No"/>
    <n v="1"/>
    <x v="0"/>
    <s v="North America"/>
    <n v="44"/>
    <x v="0"/>
    <x v="0"/>
  </r>
  <r>
    <n v="15412"/>
    <x v="0"/>
    <x v="1"/>
    <n v="130000"/>
    <n v="2"/>
    <x v="4"/>
    <x v="4"/>
    <s v="Yes"/>
    <n v="3"/>
    <x v="1"/>
    <s v="North America"/>
    <n v="69"/>
    <x v="1"/>
    <x v="0"/>
  </r>
  <r>
    <n v="20514"/>
    <x v="0"/>
    <x v="0"/>
    <n v="70000"/>
    <n v="2"/>
    <x v="1"/>
    <x v="2"/>
    <s v="Yes"/>
    <n v="1"/>
    <x v="1"/>
    <s v="North America"/>
    <n v="59"/>
    <x v="0"/>
    <x v="0"/>
  </r>
  <r>
    <n v="20758"/>
    <x v="0"/>
    <x v="1"/>
    <n v="30000"/>
    <n v="2"/>
    <x v="2"/>
    <x v="0"/>
    <s v="Yes"/>
    <n v="2"/>
    <x v="3"/>
    <s v="North America"/>
    <n v="50"/>
    <x v="0"/>
    <x v="0"/>
  </r>
  <r>
    <n v="11801"/>
    <x v="0"/>
    <x v="1"/>
    <n v="60000"/>
    <n v="1"/>
    <x v="4"/>
    <x v="2"/>
    <s v="Yes"/>
    <n v="0"/>
    <x v="1"/>
    <s v="North America"/>
    <n v="36"/>
    <x v="2"/>
    <x v="0"/>
  </r>
  <r>
    <n v="22211"/>
    <x v="0"/>
    <x v="1"/>
    <n v="60000"/>
    <n v="0"/>
    <x v="1"/>
    <x v="2"/>
    <s v="Yes"/>
    <n v="2"/>
    <x v="2"/>
    <s v="North America"/>
    <n v="32"/>
    <x v="0"/>
    <x v="0"/>
  </r>
  <r>
    <n v="28087"/>
    <x v="1"/>
    <x v="0"/>
    <n v="40000"/>
    <n v="0"/>
    <x v="1"/>
    <x v="0"/>
    <s v="No"/>
    <n v="1"/>
    <x v="3"/>
    <s v="North America"/>
    <n v="27"/>
    <x v="0"/>
    <x v="0"/>
  </r>
  <r>
    <n v="23668"/>
    <x v="0"/>
    <x v="0"/>
    <n v="40000"/>
    <n v="4"/>
    <x v="2"/>
    <x v="2"/>
    <s v="Yes"/>
    <n v="2"/>
    <x v="2"/>
    <s v="North America"/>
    <n v="59"/>
    <x v="1"/>
    <x v="1"/>
  </r>
  <r>
    <n v="27441"/>
    <x v="0"/>
    <x v="1"/>
    <n v="60000"/>
    <n v="3"/>
    <x v="2"/>
    <x v="2"/>
    <s v="No"/>
    <n v="2"/>
    <x v="1"/>
    <s v="North America"/>
    <n v="53"/>
    <x v="0"/>
    <x v="0"/>
  </r>
  <r>
    <n v="27261"/>
    <x v="0"/>
    <x v="1"/>
    <n v="40000"/>
    <n v="1"/>
    <x v="0"/>
    <x v="0"/>
    <s v="No"/>
    <n v="1"/>
    <x v="0"/>
    <s v="North America"/>
    <n v="36"/>
    <x v="0"/>
    <x v="1"/>
  </r>
  <r>
    <n v="18649"/>
    <x v="1"/>
    <x v="1"/>
    <n v="30000"/>
    <n v="1"/>
    <x v="2"/>
    <x v="1"/>
    <s v="Yes"/>
    <n v="2"/>
    <x v="3"/>
    <s v="North America"/>
    <n v="51"/>
    <x v="1"/>
    <x v="1"/>
  </r>
  <r>
    <n v="21714"/>
    <x v="1"/>
    <x v="0"/>
    <n v="80000"/>
    <n v="5"/>
    <x v="4"/>
    <x v="0"/>
    <s v="No"/>
    <n v="0"/>
    <x v="0"/>
    <s v="North America"/>
    <n v="47"/>
    <x v="0"/>
    <x v="0"/>
  </r>
  <r>
    <n v="23217"/>
    <x v="1"/>
    <x v="0"/>
    <n v="60000"/>
    <n v="3"/>
    <x v="4"/>
    <x v="2"/>
    <s v="Yes"/>
    <n v="0"/>
    <x v="1"/>
    <s v="North America"/>
    <n v="43"/>
    <x v="0"/>
    <x v="1"/>
  </r>
  <r>
    <n v="23797"/>
    <x v="1"/>
    <x v="1"/>
    <n v="20000"/>
    <n v="3"/>
    <x v="3"/>
    <x v="1"/>
    <s v="No"/>
    <n v="2"/>
    <x v="0"/>
    <s v="North America"/>
    <n v="50"/>
    <x v="0"/>
    <x v="0"/>
  </r>
  <r>
    <n v="13216"/>
    <x v="0"/>
    <x v="0"/>
    <n v="60000"/>
    <n v="5"/>
    <x v="0"/>
    <x v="4"/>
    <s v="Yes"/>
    <n v="3"/>
    <x v="4"/>
    <s v="North America"/>
    <n v="59"/>
    <x v="0"/>
    <x v="0"/>
  </r>
  <r>
    <n v="20657"/>
    <x v="1"/>
    <x v="1"/>
    <n v="50000"/>
    <n v="2"/>
    <x v="0"/>
    <x v="0"/>
    <s v="Yes"/>
    <n v="0"/>
    <x v="1"/>
    <s v="North America"/>
    <n v="37"/>
    <x v="0"/>
    <x v="1"/>
  </r>
  <r>
    <n v="12882"/>
    <x v="0"/>
    <x v="1"/>
    <n v="50000"/>
    <n v="1"/>
    <x v="4"/>
    <x v="0"/>
    <s v="Yes"/>
    <n v="0"/>
    <x v="0"/>
    <s v="North America"/>
    <n v="33"/>
    <x v="1"/>
    <x v="1"/>
  </r>
  <r>
    <n v="25908"/>
    <x v="0"/>
    <x v="0"/>
    <n v="60000"/>
    <n v="0"/>
    <x v="1"/>
    <x v="0"/>
    <s v="No"/>
    <n v="1"/>
    <x v="3"/>
    <s v="North America"/>
    <n v="27"/>
    <x v="2"/>
    <x v="0"/>
  </r>
  <r>
    <n v="16753"/>
    <x v="1"/>
    <x v="0"/>
    <n v="70000"/>
    <n v="0"/>
    <x v="1"/>
    <x v="0"/>
    <s v="Yes"/>
    <n v="2"/>
    <x v="2"/>
    <s v="North America"/>
    <n v="34"/>
    <x v="0"/>
    <x v="1"/>
  </r>
  <r>
    <n v="14608"/>
    <x v="0"/>
    <x v="1"/>
    <n v="50000"/>
    <n v="4"/>
    <x v="0"/>
    <x v="0"/>
    <s v="Yes"/>
    <n v="3"/>
    <x v="4"/>
    <s v="North America"/>
    <n v="42"/>
    <x v="0"/>
    <x v="0"/>
  </r>
  <r>
    <n v="24979"/>
    <x v="0"/>
    <x v="0"/>
    <n v="60000"/>
    <n v="2"/>
    <x v="1"/>
    <x v="2"/>
    <s v="Yes"/>
    <n v="2"/>
    <x v="1"/>
    <s v="North America"/>
    <n v="57"/>
    <x v="1"/>
    <x v="1"/>
  </r>
  <r>
    <n v="13313"/>
    <x v="0"/>
    <x v="0"/>
    <n v="120000"/>
    <n v="1"/>
    <x v="2"/>
    <x v="2"/>
    <s v="No"/>
    <n v="4"/>
    <x v="1"/>
    <s v="North America"/>
    <n v="45"/>
    <x v="0"/>
    <x v="0"/>
  </r>
  <r>
    <n v="18952"/>
    <x v="0"/>
    <x v="0"/>
    <n v="100000"/>
    <n v="4"/>
    <x v="0"/>
    <x v="4"/>
    <s v="Yes"/>
    <n v="4"/>
    <x v="0"/>
    <s v="North America"/>
    <n v="40"/>
    <x v="0"/>
    <x v="0"/>
  </r>
  <r>
    <n v="17699"/>
    <x v="0"/>
    <x v="1"/>
    <n v="60000"/>
    <n v="1"/>
    <x v="4"/>
    <x v="0"/>
    <s v="No"/>
    <n v="0"/>
    <x v="0"/>
    <s v="North America"/>
    <n v="55"/>
    <x v="0"/>
    <x v="0"/>
  </r>
  <r>
    <n v="14657"/>
    <x v="0"/>
    <x v="1"/>
    <n v="80000"/>
    <n v="1"/>
    <x v="1"/>
    <x v="0"/>
    <s v="No"/>
    <n v="1"/>
    <x v="0"/>
    <s v="North America"/>
    <n v="47"/>
    <x v="0"/>
    <x v="1"/>
  </r>
  <r>
    <n v="11540"/>
    <x v="1"/>
    <x v="1"/>
    <n v="60000"/>
    <n v="4"/>
    <x v="4"/>
    <x v="0"/>
    <s v="Yes"/>
    <n v="0"/>
    <x v="3"/>
    <s v="North America"/>
    <n v="47"/>
    <x v="2"/>
    <x v="1"/>
  </r>
  <r>
    <n v="11783"/>
    <x v="0"/>
    <x v="0"/>
    <n v="60000"/>
    <n v="1"/>
    <x v="4"/>
    <x v="0"/>
    <s v="Yes"/>
    <n v="0"/>
    <x v="0"/>
    <s v="North America"/>
    <n v="34"/>
    <x v="0"/>
    <x v="0"/>
  </r>
  <r>
    <n v="14602"/>
    <x v="0"/>
    <x v="0"/>
    <n v="80000"/>
    <n v="3"/>
    <x v="4"/>
    <x v="2"/>
    <s v="Yes"/>
    <n v="0"/>
    <x v="0"/>
    <s v="North America"/>
    <n v="36"/>
    <x v="1"/>
    <x v="1"/>
  </r>
  <r>
    <n v="29030"/>
    <x v="0"/>
    <x v="1"/>
    <n v="70000"/>
    <n v="2"/>
    <x v="3"/>
    <x v="0"/>
    <s v="Yes"/>
    <n v="2"/>
    <x v="4"/>
    <s v="North America"/>
    <n v="54"/>
    <x v="0"/>
    <x v="0"/>
  </r>
  <r>
    <n v="26490"/>
    <x v="1"/>
    <x v="1"/>
    <n v="70000"/>
    <n v="2"/>
    <x v="0"/>
    <x v="4"/>
    <s v="No"/>
    <n v="1"/>
    <x v="1"/>
    <s v="North America"/>
    <n v="59"/>
    <x v="0"/>
    <x v="1"/>
  </r>
  <r>
    <n v="13151"/>
    <x v="1"/>
    <x v="1"/>
    <n v="40000"/>
    <n v="0"/>
    <x v="2"/>
    <x v="0"/>
    <s v="Yes"/>
    <n v="2"/>
    <x v="2"/>
    <s v="North America"/>
    <n v="27"/>
    <x v="0"/>
    <x v="0"/>
  </r>
  <r>
    <n v="17260"/>
    <x v="0"/>
    <x v="1"/>
    <n v="90000"/>
    <n v="5"/>
    <x v="1"/>
    <x v="2"/>
    <s v="Yes"/>
    <n v="3"/>
    <x v="0"/>
    <s v="North America"/>
    <n v="41"/>
    <x v="2"/>
    <x v="0"/>
  </r>
  <r>
    <n v="15372"/>
    <x v="0"/>
    <x v="1"/>
    <n v="80000"/>
    <n v="3"/>
    <x v="1"/>
    <x v="2"/>
    <s v="No"/>
    <n v="2"/>
    <x v="1"/>
    <s v="North America"/>
    <n v="50"/>
    <x v="0"/>
    <x v="1"/>
  </r>
  <r>
    <n v="18105"/>
    <x v="0"/>
    <x v="0"/>
    <n v="60000"/>
    <n v="2"/>
    <x v="1"/>
    <x v="2"/>
    <s v="Yes"/>
    <n v="1"/>
    <x v="4"/>
    <s v="North America"/>
    <n v="55"/>
    <x v="0"/>
    <x v="0"/>
  </r>
  <r>
    <n v="19660"/>
    <x v="0"/>
    <x v="1"/>
    <n v="80000"/>
    <n v="4"/>
    <x v="0"/>
    <x v="4"/>
    <s v="Yes"/>
    <n v="0"/>
    <x v="0"/>
    <s v="North America"/>
    <n v="43"/>
    <x v="1"/>
    <x v="0"/>
  </r>
  <r>
    <n v="16112"/>
    <x v="1"/>
    <x v="1"/>
    <n v="70000"/>
    <n v="4"/>
    <x v="0"/>
    <x v="2"/>
    <s v="Yes"/>
    <n v="2"/>
    <x v="1"/>
    <s v="North America"/>
    <n v="43"/>
    <x v="0"/>
    <x v="1"/>
  </r>
  <r>
    <n v="20698"/>
    <x v="0"/>
    <x v="1"/>
    <n v="60000"/>
    <n v="4"/>
    <x v="0"/>
    <x v="0"/>
    <s v="Yes"/>
    <n v="3"/>
    <x v="2"/>
    <s v="North America"/>
    <n v="42"/>
    <x v="1"/>
    <x v="0"/>
  </r>
  <r>
    <n v="20076"/>
    <x v="1"/>
    <x v="0"/>
    <n v="10000"/>
    <n v="2"/>
    <x v="2"/>
    <x v="3"/>
    <s v="Yes"/>
    <n v="2"/>
    <x v="3"/>
    <s v="North America"/>
    <n v="53"/>
    <x v="2"/>
    <x v="1"/>
  </r>
  <r>
    <n v="24496"/>
    <x v="1"/>
    <x v="0"/>
    <n v="40000"/>
    <n v="0"/>
    <x v="2"/>
    <x v="0"/>
    <s v="No"/>
    <n v="2"/>
    <x v="0"/>
    <s v="North America"/>
    <n v="28"/>
    <x v="2"/>
    <x v="1"/>
  </r>
  <r>
    <n v="15468"/>
    <x v="0"/>
    <x v="0"/>
    <n v="50000"/>
    <n v="1"/>
    <x v="0"/>
    <x v="0"/>
    <s v="Yes"/>
    <n v="1"/>
    <x v="0"/>
    <s v="North America"/>
    <n v="35"/>
    <x v="0"/>
    <x v="0"/>
  </r>
  <r>
    <n v="28031"/>
    <x v="1"/>
    <x v="0"/>
    <n v="70000"/>
    <n v="2"/>
    <x v="0"/>
    <x v="4"/>
    <s v="No"/>
    <n v="1"/>
    <x v="1"/>
    <s v="North America"/>
    <n v="59"/>
    <x v="0"/>
    <x v="1"/>
  </r>
  <r>
    <n v="26270"/>
    <x v="1"/>
    <x v="0"/>
    <n v="20000"/>
    <n v="2"/>
    <x v="3"/>
    <x v="1"/>
    <s v="Yes"/>
    <n v="2"/>
    <x v="3"/>
    <s v="North America"/>
    <n v="49"/>
    <x v="1"/>
    <x v="0"/>
  </r>
  <r>
    <n v="22221"/>
    <x v="0"/>
    <x v="1"/>
    <n v="60000"/>
    <n v="2"/>
    <x v="2"/>
    <x v="2"/>
    <s v="No"/>
    <n v="2"/>
    <x v="3"/>
    <s v="North America"/>
    <n v="48"/>
    <x v="2"/>
    <x v="1"/>
  </r>
  <r>
    <n v="28228"/>
    <x v="1"/>
    <x v="0"/>
    <n v="80000"/>
    <n v="2"/>
    <x v="3"/>
    <x v="0"/>
    <s v="No"/>
    <n v="2"/>
    <x v="3"/>
    <s v="North America"/>
    <n v="50"/>
    <x v="2"/>
    <x v="0"/>
  </r>
  <r>
    <n v="18363"/>
    <x v="0"/>
    <x v="1"/>
    <n v="40000"/>
    <n v="0"/>
    <x v="2"/>
    <x v="0"/>
    <s v="Yes"/>
    <n v="2"/>
    <x v="2"/>
    <s v="North America"/>
    <n v="28"/>
    <x v="2"/>
    <x v="1"/>
  </r>
  <r>
    <n v="23256"/>
    <x v="1"/>
    <x v="1"/>
    <n v="30000"/>
    <n v="1"/>
    <x v="2"/>
    <x v="1"/>
    <s v="No"/>
    <n v="1"/>
    <x v="2"/>
    <s v="North America"/>
    <n v="52"/>
    <x v="0"/>
    <x v="0"/>
  </r>
  <r>
    <n v="12768"/>
    <x v="0"/>
    <x v="1"/>
    <n v="30000"/>
    <n v="1"/>
    <x v="2"/>
    <x v="1"/>
    <s v="Yes"/>
    <n v="1"/>
    <x v="1"/>
    <s v="North America"/>
    <n v="52"/>
    <x v="0"/>
    <x v="1"/>
  </r>
  <r>
    <n v="20361"/>
    <x v="0"/>
    <x v="1"/>
    <n v="50000"/>
    <n v="2"/>
    <x v="4"/>
    <x v="4"/>
    <s v="Yes"/>
    <n v="2"/>
    <x v="2"/>
    <s v="North America"/>
    <n v="69"/>
    <x v="0"/>
    <x v="0"/>
  </r>
  <r>
    <n v="21306"/>
    <x v="1"/>
    <x v="1"/>
    <n v="60000"/>
    <n v="2"/>
    <x v="2"/>
    <x v="2"/>
    <s v="Yes"/>
    <n v="2"/>
    <x v="2"/>
    <s v="North America"/>
    <n v="51"/>
    <x v="0"/>
    <x v="0"/>
  </r>
  <r>
    <n v="13382"/>
    <x v="0"/>
    <x v="1"/>
    <n v="70000"/>
    <n v="5"/>
    <x v="1"/>
    <x v="2"/>
    <s v="Yes"/>
    <n v="2"/>
    <x v="3"/>
    <s v="North America"/>
    <n v="57"/>
    <x v="1"/>
    <x v="1"/>
  </r>
  <r>
    <n v="20310"/>
    <x v="1"/>
    <x v="1"/>
    <n v="60000"/>
    <n v="0"/>
    <x v="1"/>
    <x v="0"/>
    <s v="Yes"/>
    <n v="1"/>
    <x v="2"/>
    <s v="North America"/>
    <n v="27"/>
    <x v="0"/>
    <x v="1"/>
  </r>
  <r>
    <n v="22971"/>
    <x v="1"/>
    <x v="0"/>
    <n v="30000"/>
    <n v="0"/>
    <x v="2"/>
    <x v="0"/>
    <s v="No"/>
    <n v="2"/>
    <x v="0"/>
    <s v="North America"/>
    <n v="25"/>
    <x v="0"/>
    <x v="1"/>
  </r>
  <r>
    <n v="15287"/>
    <x v="1"/>
    <x v="0"/>
    <n v="50000"/>
    <n v="1"/>
    <x v="4"/>
    <x v="0"/>
    <s v="Yes"/>
    <n v="0"/>
    <x v="3"/>
    <s v="North America"/>
    <n v="33"/>
    <x v="1"/>
    <x v="1"/>
  </r>
  <r>
    <n v="15532"/>
    <x v="1"/>
    <x v="1"/>
    <n v="60000"/>
    <n v="4"/>
    <x v="0"/>
    <x v="2"/>
    <s v="Yes"/>
    <n v="2"/>
    <x v="1"/>
    <s v="North America"/>
    <n v="43"/>
    <x v="0"/>
    <x v="1"/>
  </r>
  <r>
    <n v="11255"/>
    <x v="0"/>
    <x v="1"/>
    <n v="70000"/>
    <n v="4"/>
    <x v="4"/>
    <x v="4"/>
    <s v="Yes"/>
    <n v="2"/>
    <x v="2"/>
    <s v="North America"/>
    <n v="73"/>
    <x v="1"/>
    <x v="0"/>
  </r>
  <r>
    <n v="28090"/>
    <x v="0"/>
    <x v="1"/>
    <n v="40000"/>
    <n v="0"/>
    <x v="1"/>
    <x v="0"/>
    <s v="Yes"/>
    <n v="1"/>
    <x v="2"/>
    <s v="North America"/>
    <n v="27"/>
    <x v="2"/>
    <x v="0"/>
  </r>
  <r>
    <n v="15255"/>
    <x v="0"/>
    <x v="1"/>
    <n v="40000"/>
    <n v="0"/>
    <x v="2"/>
    <x v="0"/>
    <s v="Yes"/>
    <n v="2"/>
    <x v="2"/>
    <s v="North America"/>
    <n v="28"/>
    <x v="0"/>
    <x v="1"/>
  </r>
  <r>
    <n v="13154"/>
    <x v="0"/>
    <x v="1"/>
    <n v="40000"/>
    <n v="0"/>
    <x v="2"/>
    <x v="0"/>
    <s v="No"/>
    <n v="2"/>
    <x v="0"/>
    <s v="North America"/>
    <n v="27"/>
    <x v="0"/>
    <x v="1"/>
  </r>
  <r>
    <n v="26778"/>
    <x v="1"/>
    <x v="0"/>
    <n v="40000"/>
    <n v="0"/>
    <x v="2"/>
    <x v="0"/>
    <s v="Yes"/>
    <n v="2"/>
    <x v="2"/>
    <s v="North America"/>
    <n v="31"/>
    <x v="2"/>
    <x v="0"/>
  </r>
  <r>
    <n v="23248"/>
    <x v="0"/>
    <x v="0"/>
    <n v="10000"/>
    <n v="2"/>
    <x v="2"/>
    <x v="3"/>
    <s v="Yes"/>
    <n v="2"/>
    <x v="3"/>
    <s v="North America"/>
    <n v="53"/>
    <x v="2"/>
    <x v="0"/>
  </r>
  <r>
    <n v="21417"/>
    <x v="1"/>
    <x v="0"/>
    <n v="60000"/>
    <n v="0"/>
    <x v="1"/>
    <x v="2"/>
    <s v="No"/>
    <n v="2"/>
    <x v="3"/>
    <s v="North America"/>
    <n v="32"/>
    <x v="0"/>
    <x v="1"/>
  </r>
  <r>
    <n v="17668"/>
    <x v="1"/>
    <x v="1"/>
    <n v="30000"/>
    <n v="2"/>
    <x v="2"/>
    <x v="0"/>
    <s v="Yes"/>
    <n v="2"/>
    <x v="3"/>
    <s v="North America"/>
    <n v="50"/>
    <x v="0"/>
    <x v="1"/>
  </r>
  <r>
    <n v="27994"/>
    <x v="0"/>
    <x v="0"/>
    <n v="40000"/>
    <n v="4"/>
    <x v="2"/>
    <x v="2"/>
    <s v="Yes"/>
    <n v="2"/>
    <x v="2"/>
    <s v="North America"/>
    <n v="69"/>
    <x v="0"/>
    <x v="0"/>
  </r>
  <r>
    <n v="20376"/>
    <x v="1"/>
    <x v="0"/>
    <n v="70000"/>
    <n v="3"/>
    <x v="4"/>
    <x v="4"/>
    <s v="Yes"/>
    <n v="2"/>
    <x v="2"/>
    <s v="North America"/>
    <n v="52"/>
    <x v="0"/>
    <x v="1"/>
  </r>
  <r>
    <n v="25954"/>
    <x v="0"/>
    <x v="1"/>
    <n v="60000"/>
    <n v="0"/>
    <x v="1"/>
    <x v="0"/>
    <s v="No"/>
    <n v="2"/>
    <x v="3"/>
    <s v="North America"/>
    <n v="31"/>
    <x v="0"/>
    <x v="0"/>
  </r>
  <r>
    <n v="15749"/>
    <x v="1"/>
    <x v="0"/>
    <n v="70000"/>
    <n v="4"/>
    <x v="0"/>
    <x v="4"/>
    <s v="Yes"/>
    <n v="2"/>
    <x v="4"/>
    <s v="North America"/>
    <n v="61"/>
    <x v="0"/>
    <x v="0"/>
  </r>
  <r>
    <n v="25899"/>
    <x v="0"/>
    <x v="0"/>
    <n v="70000"/>
    <n v="2"/>
    <x v="2"/>
    <x v="2"/>
    <s v="Yes"/>
    <n v="2"/>
    <x v="4"/>
    <s v="North America"/>
    <n v="53"/>
    <x v="0"/>
    <x v="0"/>
  </r>
  <r>
    <n v="13351"/>
    <x v="1"/>
    <x v="0"/>
    <n v="70000"/>
    <n v="4"/>
    <x v="0"/>
    <x v="4"/>
    <s v="Yes"/>
    <n v="2"/>
    <x v="3"/>
    <s v="North America"/>
    <n v="62"/>
    <x v="0"/>
    <x v="1"/>
  </r>
  <r>
    <n v="23333"/>
    <x v="0"/>
    <x v="1"/>
    <n v="40000"/>
    <n v="0"/>
    <x v="1"/>
    <x v="0"/>
    <s v="No"/>
    <n v="2"/>
    <x v="3"/>
    <s v="North America"/>
    <n v="30"/>
    <x v="2"/>
    <x v="0"/>
  </r>
  <r>
    <n v="21660"/>
    <x v="0"/>
    <x v="0"/>
    <n v="60000"/>
    <n v="3"/>
    <x v="4"/>
    <x v="2"/>
    <s v="Yes"/>
    <n v="0"/>
    <x v="1"/>
    <s v="North America"/>
    <n v="43"/>
    <x v="1"/>
    <x v="1"/>
  </r>
  <r>
    <n v="17012"/>
    <x v="0"/>
    <x v="0"/>
    <n v="60000"/>
    <n v="3"/>
    <x v="4"/>
    <x v="2"/>
    <s v="Yes"/>
    <n v="0"/>
    <x v="1"/>
    <s v="North America"/>
    <n v="42"/>
    <x v="0"/>
    <x v="1"/>
  </r>
  <r>
    <n v="24514"/>
    <x v="0"/>
    <x v="1"/>
    <n v="40000"/>
    <n v="0"/>
    <x v="1"/>
    <x v="0"/>
    <s v="Yes"/>
    <n v="1"/>
    <x v="2"/>
    <s v="North America"/>
    <n v="30"/>
    <x v="0"/>
    <x v="0"/>
  </r>
  <r>
    <n v="27505"/>
    <x v="1"/>
    <x v="0"/>
    <n v="40000"/>
    <n v="0"/>
    <x v="2"/>
    <x v="0"/>
    <s v="Yes"/>
    <n v="2"/>
    <x v="2"/>
    <s v="North America"/>
    <n v="30"/>
    <x v="0"/>
    <x v="0"/>
  </r>
  <r>
    <n v="29243"/>
    <x v="1"/>
    <x v="1"/>
    <n v="110000"/>
    <n v="1"/>
    <x v="0"/>
    <x v="4"/>
    <s v="Yes"/>
    <n v="1"/>
    <x v="2"/>
    <s v="North America"/>
    <n v="43"/>
    <x v="0"/>
    <x v="0"/>
  </r>
  <r>
    <n v="26582"/>
    <x v="0"/>
    <x v="1"/>
    <n v="60000"/>
    <n v="0"/>
    <x v="1"/>
    <x v="0"/>
    <s v="Yes"/>
    <n v="2"/>
    <x v="2"/>
    <s v="North America"/>
    <n v="33"/>
    <x v="0"/>
    <x v="1"/>
  </r>
  <r>
    <n v="14271"/>
    <x v="0"/>
    <x v="1"/>
    <n v="30000"/>
    <n v="0"/>
    <x v="2"/>
    <x v="0"/>
    <s v="Yes"/>
    <n v="2"/>
    <x v="2"/>
    <s v="North America"/>
    <n v="32"/>
    <x v="0"/>
    <x v="0"/>
  </r>
  <r>
    <n v="23041"/>
    <x v="1"/>
    <x v="0"/>
    <n v="70000"/>
    <n v="4"/>
    <x v="2"/>
    <x v="2"/>
    <s v="Yes"/>
    <n v="0"/>
    <x v="2"/>
    <s v="North America"/>
    <n v="50"/>
    <x v="2"/>
    <x v="1"/>
  </r>
  <r>
    <n v="29048"/>
    <x v="1"/>
    <x v="1"/>
    <n v="110000"/>
    <n v="2"/>
    <x v="0"/>
    <x v="4"/>
    <s v="No"/>
    <n v="3"/>
    <x v="0"/>
    <s v="North America"/>
    <n v="37"/>
    <x v="0"/>
    <x v="1"/>
  </r>
  <r>
    <n v="24433"/>
    <x v="0"/>
    <x v="1"/>
    <n v="70000"/>
    <n v="3"/>
    <x v="2"/>
    <x v="2"/>
    <s v="No"/>
    <n v="1"/>
    <x v="3"/>
    <s v="North America"/>
    <n v="52"/>
    <x v="0"/>
    <x v="1"/>
  </r>
  <r>
    <n v="15501"/>
    <x v="0"/>
    <x v="1"/>
    <n v="70000"/>
    <n v="4"/>
    <x v="4"/>
    <x v="2"/>
    <s v="Yes"/>
    <n v="0"/>
    <x v="1"/>
    <s v="North America"/>
    <n v="36"/>
    <x v="0"/>
    <x v="1"/>
  </r>
  <r>
    <n v="13911"/>
    <x v="1"/>
    <x v="0"/>
    <n v="80000"/>
    <n v="3"/>
    <x v="0"/>
    <x v="0"/>
    <s v="Yes"/>
    <n v="2"/>
    <x v="1"/>
    <s v="North America"/>
    <n v="41"/>
    <x v="0"/>
    <x v="1"/>
  </r>
  <r>
    <n v="20421"/>
    <x v="1"/>
    <x v="0"/>
    <n v="40000"/>
    <n v="0"/>
    <x v="3"/>
    <x v="1"/>
    <s v="Yes"/>
    <n v="2"/>
    <x v="2"/>
    <s v="North America"/>
    <n v="26"/>
    <x v="1"/>
    <x v="0"/>
  </r>
  <r>
    <n v="16009"/>
    <x v="1"/>
    <x v="1"/>
    <n v="170000"/>
    <n v="1"/>
    <x v="4"/>
    <x v="4"/>
    <s v="No"/>
    <n v="4"/>
    <x v="0"/>
    <s v="North America"/>
    <n v="66"/>
    <x v="0"/>
    <x v="0"/>
  </r>
  <r>
    <n v="18411"/>
    <x v="0"/>
    <x v="1"/>
    <n v="60000"/>
    <n v="2"/>
    <x v="2"/>
    <x v="2"/>
    <s v="No"/>
    <n v="2"/>
    <x v="2"/>
    <s v="North America"/>
    <n v="51"/>
    <x v="0"/>
    <x v="0"/>
  </r>
  <r>
    <n v="19163"/>
    <x v="0"/>
    <x v="0"/>
    <n v="70000"/>
    <n v="4"/>
    <x v="0"/>
    <x v="2"/>
    <s v="Yes"/>
    <n v="2"/>
    <x v="0"/>
    <s v="North America"/>
    <n v="43"/>
    <x v="1"/>
    <x v="1"/>
  </r>
  <r>
    <n v="18572"/>
    <x v="0"/>
    <x v="0"/>
    <n v="60000"/>
    <n v="0"/>
    <x v="4"/>
    <x v="2"/>
    <s v="Yes"/>
    <n v="0"/>
    <x v="0"/>
    <s v="North America"/>
    <n v="39"/>
    <x v="0"/>
    <x v="0"/>
  </r>
  <r>
    <n v="27540"/>
    <x v="1"/>
    <x v="0"/>
    <n v="70000"/>
    <n v="0"/>
    <x v="0"/>
    <x v="2"/>
    <s v="No"/>
    <n v="1"/>
    <x v="0"/>
    <s v="North America"/>
    <n v="37"/>
    <x v="1"/>
    <x v="1"/>
  </r>
  <r>
    <n v="19889"/>
    <x v="1"/>
    <x v="0"/>
    <n v="70000"/>
    <n v="2"/>
    <x v="3"/>
    <x v="0"/>
    <s v="No"/>
    <n v="2"/>
    <x v="1"/>
    <s v="North America"/>
    <n v="54"/>
    <x v="2"/>
    <x v="1"/>
  </r>
  <r>
    <n v="12922"/>
    <x v="1"/>
    <x v="0"/>
    <n v="60000"/>
    <n v="3"/>
    <x v="0"/>
    <x v="0"/>
    <s v="Yes"/>
    <n v="0"/>
    <x v="1"/>
    <s v="North America"/>
    <n v="40"/>
    <x v="0"/>
    <x v="1"/>
  </r>
  <r>
    <n v="18891"/>
    <x v="0"/>
    <x v="0"/>
    <n v="40000"/>
    <n v="0"/>
    <x v="1"/>
    <x v="0"/>
    <s v="Yes"/>
    <n v="2"/>
    <x v="2"/>
    <s v="North America"/>
    <n v="28"/>
    <x v="1"/>
    <x v="0"/>
  </r>
  <r>
    <n v="16773"/>
    <x v="0"/>
    <x v="1"/>
    <n v="60000"/>
    <n v="1"/>
    <x v="4"/>
    <x v="0"/>
    <s v="Yes"/>
    <n v="0"/>
    <x v="0"/>
    <s v="North America"/>
    <n v="33"/>
    <x v="1"/>
    <x v="0"/>
  </r>
  <r>
    <n v="19143"/>
    <x v="1"/>
    <x v="0"/>
    <n v="80000"/>
    <n v="3"/>
    <x v="0"/>
    <x v="0"/>
    <s v="Yes"/>
    <n v="2"/>
    <x v="1"/>
    <s v="North America"/>
    <n v="41"/>
    <x v="0"/>
    <x v="1"/>
  </r>
  <r>
    <n v="23882"/>
    <x v="1"/>
    <x v="0"/>
    <n v="80000"/>
    <n v="3"/>
    <x v="4"/>
    <x v="2"/>
    <s v="Yes"/>
    <n v="0"/>
    <x v="0"/>
    <s v="North America"/>
    <n v="37"/>
    <x v="0"/>
    <x v="1"/>
  </r>
  <r>
    <n v="11233"/>
    <x v="0"/>
    <x v="1"/>
    <n v="70000"/>
    <n v="4"/>
    <x v="1"/>
    <x v="2"/>
    <s v="Yes"/>
    <n v="2"/>
    <x v="4"/>
    <s v="North America"/>
    <n v="53"/>
    <x v="0"/>
    <x v="0"/>
  </r>
  <r>
    <n v="12056"/>
    <x v="0"/>
    <x v="1"/>
    <n v="120000"/>
    <n v="2"/>
    <x v="4"/>
    <x v="4"/>
    <s v="Yes"/>
    <n v="3"/>
    <x v="2"/>
    <s v="North America"/>
    <n v="64"/>
    <x v="0"/>
    <x v="0"/>
  </r>
  <r>
    <n v="15555"/>
    <x v="0"/>
    <x v="0"/>
    <n v="60000"/>
    <n v="1"/>
    <x v="1"/>
    <x v="0"/>
    <s v="Yes"/>
    <n v="1"/>
    <x v="1"/>
    <s v="North America"/>
    <n v="45"/>
    <x v="0"/>
    <x v="1"/>
  </r>
  <r>
    <n v="18423"/>
    <x v="1"/>
    <x v="1"/>
    <n v="80000"/>
    <n v="2"/>
    <x v="3"/>
    <x v="0"/>
    <s v="No"/>
    <n v="2"/>
    <x v="3"/>
    <s v="North America"/>
    <n v="52"/>
    <x v="2"/>
    <x v="0"/>
  </r>
  <r>
    <n v="22743"/>
    <x v="0"/>
    <x v="0"/>
    <n v="40000"/>
    <n v="5"/>
    <x v="2"/>
    <x v="2"/>
    <s v="Yes"/>
    <n v="2"/>
    <x v="4"/>
    <s v="North America"/>
    <n v="60"/>
    <x v="0"/>
    <x v="0"/>
  </r>
  <r>
    <n v="25343"/>
    <x v="1"/>
    <x v="0"/>
    <n v="20000"/>
    <n v="3"/>
    <x v="3"/>
    <x v="1"/>
    <s v="Yes"/>
    <n v="2"/>
    <x v="3"/>
    <s v="North America"/>
    <n v="50"/>
    <x v="0"/>
    <x v="0"/>
  </r>
  <r>
    <n v="13390"/>
    <x v="0"/>
    <x v="0"/>
    <n v="70000"/>
    <n v="4"/>
    <x v="1"/>
    <x v="2"/>
    <s v="No"/>
    <n v="1"/>
    <x v="3"/>
    <s v="North America"/>
    <n v="56"/>
    <x v="0"/>
    <x v="0"/>
  </r>
  <r>
    <n v="17482"/>
    <x v="1"/>
    <x v="0"/>
    <n v="40000"/>
    <n v="0"/>
    <x v="3"/>
    <x v="1"/>
    <s v="Yes"/>
    <n v="2"/>
    <x v="2"/>
    <s v="North America"/>
    <n v="29"/>
    <x v="0"/>
    <x v="0"/>
  </r>
  <r>
    <n v="13176"/>
    <x v="1"/>
    <x v="1"/>
    <n v="130000"/>
    <n v="0"/>
    <x v="4"/>
    <x v="4"/>
    <s v="No"/>
    <n v="2"/>
    <x v="0"/>
    <s v="North America"/>
    <n v="38"/>
    <x v="0"/>
    <x v="1"/>
  </r>
  <r>
    <n v="20504"/>
    <x v="0"/>
    <x v="0"/>
    <n v="40000"/>
    <n v="5"/>
    <x v="2"/>
    <x v="2"/>
    <s v="No"/>
    <n v="2"/>
    <x v="1"/>
    <s v="North America"/>
    <n v="60"/>
    <x v="0"/>
    <x v="0"/>
  </r>
  <r>
    <n v="12205"/>
    <x v="1"/>
    <x v="0"/>
    <n v="130000"/>
    <n v="2"/>
    <x v="0"/>
    <x v="4"/>
    <s v="No"/>
    <n v="4"/>
    <x v="0"/>
    <s v="North America"/>
    <n v="67"/>
    <x v="0"/>
    <x v="0"/>
  </r>
  <r>
    <n v="16751"/>
    <x v="0"/>
    <x v="1"/>
    <n v="60000"/>
    <n v="0"/>
    <x v="1"/>
    <x v="0"/>
    <s v="Yes"/>
    <n v="1"/>
    <x v="2"/>
    <s v="North America"/>
    <n v="32"/>
    <x v="0"/>
    <x v="1"/>
  </r>
  <r>
    <n v="21613"/>
    <x v="1"/>
    <x v="1"/>
    <n v="50000"/>
    <n v="2"/>
    <x v="0"/>
    <x v="0"/>
    <s v="No"/>
    <n v="1"/>
    <x v="0"/>
    <s v="North America"/>
    <n v="39"/>
    <x v="0"/>
    <x v="1"/>
  </r>
  <r>
    <n v="24801"/>
    <x v="1"/>
    <x v="1"/>
    <n v="60000"/>
    <n v="1"/>
    <x v="4"/>
    <x v="2"/>
    <s v="Yes"/>
    <n v="0"/>
    <x v="1"/>
    <s v="North America"/>
    <n v="35"/>
    <x v="1"/>
    <x v="1"/>
  </r>
  <r>
    <n v="17519"/>
    <x v="0"/>
    <x v="0"/>
    <n v="60000"/>
    <n v="0"/>
    <x v="1"/>
    <x v="2"/>
    <s v="Yes"/>
    <n v="2"/>
    <x v="2"/>
    <s v="North America"/>
    <n v="32"/>
    <x v="0"/>
    <x v="0"/>
  </r>
  <r>
    <n v="18347"/>
    <x v="1"/>
    <x v="0"/>
    <n v="30000"/>
    <n v="0"/>
    <x v="1"/>
    <x v="0"/>
    <s v="No"/>
    <n v="1"/>
    <x v="3"/>
    <s v="North America"/>
    <n v="31"/>
    <x v="1"/>
    <x v="0"/>
  </r>
  <r>
    <n v="29052"/>
    <x v="1"/>
    <x v="1"/>
    <n v="40000"/>
    <n v="0"/>
    <x v="1"/>
    <x v="0"/>
    <s v="Yes"/>
    <n v="1"/>
    <x v="2"/>
    <s v="North America"/>
    <n v="27"/>
    <x v="0"/>
    <x v="0"/>
  </r>
  <r>
    <n v="11745"/>
    <x v="0"/>
    <x v="0"/>
    <n v="60000"/>
    <n v="1"/>
    <x v="0"/>
    <x v="2"/>
    <s v="Yes"/>
    <n v="1"/>
    <x v="0"/>
    <s v="North America"/>
    <n v="47"/>
    <x v="0"/>
    <x v="1"/>
  </r>
  <r>
    <n v="19147"/>
    <x v="0"/>
    <x v="1"/>
    <n v="40000"/>
    <n v="0"/>
    <x v="0"/>
    <x v="2"/>
    <s v="No"/>
    <n v="1"/>
    <x v="0"/>
    <s v="North America"/>
    <n v="42"/>
    <x v="1"/>
    <x v="0"/>
  </r>
  <r>
    <n v="19217"/>
    <x v="0"/>
    <x v="1"/>
    <n v="30000"/>
    <n v="2"/>
    <x v="2"/>
    <x v="0"/>
    <s v="Yes"/>
    <n v="2"/>
    <x v="3"/>
    <s v="North America"/>
    <n v="49"/>
    <x v="0"/>
    <x v="0"/>
  </r>
  <r>
    <n v="15839"/>
    <x v="1"/>
    <x v="1"/>
    <n v="30000"/>
    <n v="0"/>
    <x v="1"/>
    <x v="0"/>
    <s v="Yes"/>
    <n v="1"/>
    <x v="2"/>
    <s v="North America"/>
    <n v="32"/>
    <x v="0"/>
    <x v="0"/>
  </r>
  <r>
    <n v="13714"/>
    <x v="0"/>
    <x v="0"/>
    <n v="20000"/>
    <n v="2"/>
    <x v="2"/>
    <x v="3"/>
    <s v="No"/>
    <n v="2"/>
    <x v="3"/>
    <s v="North America"/>
    <n v="53"/>
    <x v="0"/>
    <x v="1"/>
  </r>
  <r>
    <n v="22330"/>
    <x v="0"/>
    <x v="1"/>
    <n v="50000"/>
    <n v="0"/>
    <x v="4"/>
    <x v="0"/>
    <s v="Yes"/>
    <n v="0"/>
    <x v="3"/>
    <s v="North America"/>
    <n v="32"/>
    <x v="0"/>
    <x v="1"/>
  </r>
  <r>
    <n v="18783"/>
    <x v="1"/>
    <x v="1"/>
    <n v="80000"/>
    <n v="0"/>
    <x v="0"/>
    <x v="4"/>
    <s v="No"/>
    <n v="1"/>
    <x v="0"/>
    <s v="North America"/>
    <n v="38"/>
    <x v="2"/>
    <x v="1"/>
  </r>
  <r>
    <n v="25041"/>
    <x v="1"/>
    <x v="1"/>
    <n v="40000"/>
    <n v="0"/>
    <x v="2"/>
    <x v="0"/>
    <s v="Yes"/>
    <n v="2"/>
    <x v="2"/>
    <s v="North America"/>
    <n v="31"/>
    <x v="1"/>
    <x v="0"/>
  </r>
  <r>
    <n v="22046"/>
    <x v="1"/>
    <x v="0"/>
    <n v="80000"/>
    <n v="0"/>
    <x v="0"/>
    <x v="4"/>
    <s v="No"/>
    <n v="1"/>
    <x v="0"/>
    <s v="North America"/>
    <n v="38"/>
    <x v="1"/>
    <x v="1"/>
  </r>
  <r>
    <n v="28052"/>
    <x v="0"/>
    <x v="1"/>
    <n v="60000"/>
    <n v="2"/>
    <x v="2"/>
    <x v="2"/>
    <s v="Yes"/>
    <n v="2"/>
    <x v="4"/>
    <s v="North America"/>
    <n v="55"/>
    <x v="0"/>
    <x v="0"/>
  </r>
  <r>
    <n v="26693"/>
    <x v="0"/>
    <x v="1"/>
    <n v="70000"/>
    <n v="3"/>
    <x v="1"/>
    <x v="2"/>
    <s v="Yes"/>
    <n v="1"/>
    <x v="2"/>
    <s v="North America"/>
    <n v="49"/>
    <x v="0"/>
    <x v="0"/>
  </r>
  <r>
    <n v="24955"/>
    <x v="1"/>
    <x v="1"/>
    <n v="30000"/>
    <n v="5"/>
    <x v="3"/>
    <x v="0"/>
    <s v="Yes"/>
    <n v="3"/>
    <x v="4"/>
    <s v="North America"/>
    <n v="60"/>
    <x v="1"/>
    <x v="1"/>
  </r>
  <r>
    <n v="26065"/>
    <x v="1"/>
    <x v="0"/>
    <n v="110000"/>
    <n v="3"/>
    <x v="0"/>
    <x v="4"/>
    <s v="No"/>
    <n v="4"/>
    <x v="3"/>
    <s v="North America"/>
    <n v="42"/>
    <x v="0"/>
    <x v="0"/>
  </r>
  <r>
    <n v="13942"/>
    <x v="0"/>
    <x v="1"/>
    <n v="60000"/>
    <n v="1"/>
    <x v="1"/>
    <x v="0"/>
    <s v="Yes"/>
    <n v="1"/>
    <x v="0"/>
    <s v="North America"/>
    <n v="46"/>
    <x v="0"/>
    <x v="0"/>
  </r>
  <r>
    <n v="11219"/>
    <x v="0"/>
    <x v="1"/>
    <n v="60000"/>
    <n v="2"/>
    <x v="2"/>
    <x v="2"/>
    <s v="Yes"/>
    <n v="2"/>
    <x v="4"/>
    <s v="North America"/>
    <n v="55"/>
    <x v="1"/>
    <x v="0"/>
  </r>
  <r>
    <n v="22118"/>
    <x v="1"/>
    <x v="0"/>
    <n v="70000"/>
    <n v="3"/>
    <x v="4"/>
    <x v="4"/>
    <s v="Yes"/>
    <n v="2"/>
    <x v="2"/>
    <s v="North America"/>
    <n v="53"/>
    <x v="0"/>
    <x v="1"/>
  </r>
  <r>
    <n v="23197"/>
    <x v="0"/>
    <x v="1"/>
    <n v="50000"/>
    <n v="3"/>
    <x v="0"/>
    <x v="0"/>
    <s v="Yes"/>
    <n v="2"/>
    <x v="1"/>
    <s v="North America"/>
    <n v="40"/>
    <x v="0"/>
    <x v="0"/>
  </r>
  <r>
    <n v="14883"/>
    <x v="0"/>
    <x v="0"/>
    <n v="30000"/>
    <n v="1"/>
    <x v="0"/>
    <x v="0"/>
    <s v="Yes"/>
    <n v="1"/>
    <x v="2"/>
    <s v="North America"/>
    <n v="53"/>
    <x v="0"/>
    <x v="1"/>
  </r>
  <r>
    <n v="27279"/>
    <x v="1"/>
    <x v="0"/>
    <n v="70000"/>
    <n v="2"/>
    <x v="0"/>
    <x v="0"/>
    <s v="Yes"/>
    <n v="0"/>
    <x v="1"/>
    <s v="North America"/>
    <n v="38"/>
    <x v="0"/>
    <x v="1"/>
  </r>
  <r>
    <n v="18322"/>
    <x v="1"/>
    <x v="1"/>
    <n v="30000"/>
    <n v="0"/>
    <x v="3"/>
    <x v="1"/>
    <s v="No"/>
    <n v="2"/>
    <x v="0"/>
    <s v="North America"/>
    <n v="26"/>
    <x v="0"/>
    <x v="0"/>
  </r>
  <r>
    <n v="15879"/>
    <x v="0"/>
    <x v="1"/>
    <n v="70000"/>
    <n v="5"/>
    <x v="0"/>
    <x v="4"/>
    <s v="Yes"/>
    <n v="2"/>
    <x v="1"/>
    <s v="North America"/>
    <n v="61"/>
    <x v="0"/>
    <x v="0"/>
  </r>
  <r>
    <n v="28278"/>
    <x v="0"/>
    <x v="1"/>
    <n v="50000"/>
    <n v="2"/>
    <x v="4"/>
    <x v="4"/>
    <s v="Yes"/>
    <n v="2"/>
    <x v="2"/>
    <s v="North America"/>
    <n v="71"/>
    <x v="1"/>
    <x v="0"/>
  </r>
  <r>
    <n v="24416"/>
    <x v="0"/>
    <x v="1"/>
    <n v="90000"/>
    <n v="4"/>
    <x v="2"/>
    <x v="2"/>
    <s v="Yes"/>
    <n v="2"/>
    <x v="3"/>
    <s v="North America"/>
    <n v="45"/>
    <x v="0"/>
    <x v="0"/>
  </r>
  <r>
    <n v="28066"/>
    <x v="0"/>
    <x v="1"/>
    <n v="80000"/>
    <n v="2"/>
    <x v="4"/>
    <x v="2"/>
    <s v="Yes"/>
    <n v="0"/>
    <x v="0"/>
    <s v="North America"/>
    <n v="37"/>
    <x v="0"/>
    <x v="1"/>
  </r>
  <r>
    <n v="11275"/>
    <x v="0"/>
    <x v="0"/>
    <n v="80000"/>
    <n v="4"/>
    <x v="4"/>
    <x v="4"/>
    <s v="Yes"/>
    <n v="2"/>
    <x v="0"/>
    <s v="North America"/>
    <n v="72"/>
    <x v="0"/>
    <x v="1"/>
  </r>
  <r>
    <n v="14872"/>
    <x v="0"/>
    <x v="1"/>
    <n v="30000"/>
    <n v="0"/>
    <x v="4"/>
    <x v="0"/>
    <s v="Yes"/>
    <n v="0"/>
    <x v="0"/>
    <s v="North America"/>
    <n v="32"/>
    <x v="1"/>
    <x v="0"/>
  </r>
  <r>
    <n v="16151"/>
    <x v="0"/>
    <x v="0"/>
    <n v="60000"/>
    <n v="1"/>
    <x v="0"/>
    <x v="2"/>
    <s v="Yes"/>
    <n v="1"/>
    <x v="1"/>
    <s v="North America"/>
    <n v="48"/>
    <x v="0"/>
    <x v="1"/>
  </r>
  <r>
    <n v="19731"/>
    <x v="0"/>
    <x v="1"/>
    <n v="80000"/>
    <n v="4"/>
    <x v="4"/>
    <x v="4"/>
    <s v="Yes"/>
    <n v="2"/>
    <x v="2"/>
    <s v="North America"/>
    <n v="68"/>
    <x v="2"/>
    <x v="0"/>
  </r>
  <r>
    <n v="23801"/>
    <x v="0"/>
    <x v="0"/>
    <n v="20000"/>
    <n v="2"/>
    <x v="3"/>
    <x v="1"/>
    <s v="Yes"/>
    <n v="2"/>
    <x v="0"/>
    <s v="North America"/>
    <n v="49"/>
    <x v="1"/>
    <x v="0"/>
  </r>
  <r>
    <n v="11807"/>
    <x v="0"/>
    <x v="1"/>
    <n v="70000"/>
    <n v="3"/>
    <x v="4"/>
    <x v="2"/>
    <s v="Yes"/>
    <n v="0"/>
    <x v="1"/>
    <s v="North America"/>
    <n v="34"/>
    <x v="0"/>
    <x v="0"/>
  </r>
  <r>
    <n v="11622"/>
    <x v="0"/>
    <x v="1"/>
    <n v="50000"/>
    <n v="0"/>
    <x v="4"/>
    <x v="0"/>
    <s v="Yes"/>
    <n v="0"/>
    <x v="0"/>
    <s v="North America"/>
    <n v="32"/>
    <x v="0"/>
    <x v="0"/>
  </r>
  <r>
    <n v="26597"/>
    <x v="1"/>
    <x v="0"/>
    <n v="60000"/>
    <n v="4"/>
    <x v="0"/>
    <x v="0"/>
    <s v="No"/>
    <n v="2"/>
    <x v="0"/>
    <s v="North America"/>
    <n v="42"/>
    <x v="0"/>
    <x v="0"/>
  </r>
  <r>
    <n v="27074"/>
    <x v="0"/>
    <x v="0"/>
    <n v="70000"/>
    <n v="1"/>
    <x v="4"/>
    <x v="0"/>
    <s v="Yes"/>
    <n v="0"/>
    <x v="0"/>
    <s v="North America"/>
    <n v="35"/>
    <x v="0"/>
    <x v="1"/>
  </r>
  <r>
    <n v="19228"/>
    <x v="0"/>
    <x v="0"/>
    <n v="40000"/>
    <n v="2"/>
    <x v="1"/>
    <x v="1"/>
    <s v="Yes"/>
    <n v="1"/>
    <x v="0"/>
    <s v="North America"/>
    <n v="48"/>
    <x v="1"/>
    <x v="0"/>
  </r>
  <r>
    <n v="13415"/>
    <x v="1"/>
    <x v="1"/>
    <n v="100000"/>
    <n v="1"/>
    <x v="4"/>
    <x v="4"/>
    <s v="Yes"/>
    <n v="3"/>
    <x v="1"/>
    <s v="North America"/>
    <n v="73"/>
    <x v="0"/>
    <x v="1"/>
  </r>
  <r>
    <n v="17000"/>
    <x v="1"/>
    <x v="0"/>
    <n v="70000"/>
    <n v="4"/>
    <x v="0"/>
    <x v="0"/>
    <s v="Yes"/>
    <n v="2"/>
    <x v="1"/>
    <s v="North America"/>
    <n v="43"/>
    <x v="0"/>
    <x v="1"/>
  </r>
  <r>
    <n v="14569"/>
    <x v="0"/>
    <x v="1"/>
    <n v="60000"/>
    <n v="1"/>
    <x v="4"/>
    <x v="2"/>
    <s v="Yes"/>
    <n v="0"/>
    <x v="0"/>
    <s v="North America"/>
    <n v="35"/>
    <x v="0"/>
    <x v="0"/>
  </r>
  <r>
    <n v="13873"/>
    <x v="0"/>
    <x v="1"/>
    <n v="70000"/>
    <n v="3"/>
    <x v="4"/>
    <x v="2"/>
    <s v="Yes"/>
    <n v="0"/>
    <x v="0"/>
    <s v="North America"/>
    <n v="35"/>
    <x v="1"/>
    <x v="1"/>
  </r>
  <r>
    <n v="20401"/>
    <x v="0"/>
    <x v="0"/>
    <n v="50000"/>
    <n v="4"/>
    <x v="0"/>
    <x v="4"/>
    <s v="Yes"/>
    <n v="2"/>
    <x v="3"/>
    <s v="North America"/>
    <n v="64"/>
    <x v="0"/>
    <x v="1"/>
  </r>
  <r>
    <n v="21583"/>
    <x v="0"/>
    <x v="0"/>
    <n v="50000"/>
    <n v="1"/>
    <x v="0"/>
    <x v="0"/>
    <s v="Yes"/>
    <n v="0"/>
    <x v="0"/>
    <s v="North America"/>
    <n v="34"/>
    <x v="0"/>
    <x v="1"/>
  </r>
  <r>
    <n v="12029"/>
    <x v="0"/>
    <x v="1"/>
    <n v="30000"/>
    <n v="0"/>
    <x v="3"/>
    <x v="1"/>
    <s v="No"/>
    <n v="2"/>
    <x v="0"/>
    <s v="North America"/>
    <n v="28"/>
    <x v="0"/>
    <x v="0"/>
  </r>
  <r>
    <n v="18066"/>
    <x v="1"/>
    <x v="1"/>
    <n v="70000"/>
    <n v="5"/>
    <x v="0"/>
    <x v="4"/>
    <s v="Yes"/>
    <n v="3"/>
    <x v="4"/>
    <s v="North America"/>
    <n v="60"/>
    <x v="1"/>
    <x v="1"/>
  </r>
  <r>
    <n v="28192"/>
    <x v="0"/>
    <x v="0"/>
    <n v="70000"/>
    <n v="5"/>
    <x v="4"/>
    <x v="2"/>
    <s v="Yes"/>
    <n v="3"/>
    <x v="4"/>
    <s v="North America"/>
    <n v="46"/>
    <x v="0"/>
    <x v="0"/>
  </r>
  <r>
    <n v="16122"/>
    <x v="0"/>
    <x v="1"/>
    <n v="40000"/>
    <n v="4"/>
    <x v="2"/>
    <x v="0"/>
    <s v="Yes"/>
    <n v="2"/>
    <x v="0"/>
    <s v="North America"/>
    <n v="44"/>
    <x v="0"/>
    <x v="1"/>
  </r>
  <r>
    <n v="18607"/>
    <x v="1"/>
    <x v="0"/>
    <n v="60000"/>
    <n v="4"/>
    <x v="0"/>
    <x v="0"/>
    <s v="Yes"/>
    <n v="2"/>
    <x v="1"/>
    <s v="North America"/>
    <n v="42"/>
    <x v="0"/>
    <x v="1"/>
  </r>
  <r>
    <n v="28858"/>
    <x v="1"/>
    <x v="1"/>
    <n v="80000"/>
    <n v="3"/>
    <x v="0"/>
    <x v="0"/>
    <s v="Yes"/>
    <n v="0"/>
    <x v="1"/>
    <s v="North America"/>
    <n v="40"/>
    <x v="1"/>
    <x v="0"/>
  </r>
  <r>
    <n v="14432"/>
    <x v="1"/>
    <x v="1"/>
    <n v="90000"/>
    <n v="4"/>
    <x v="4"/>
    <x v="4"/>
    <s v="Yes"/>
    <n v="1"/>
    <x v="2"/>
    <s v="North America"/>
    <n v="73"/>
    <x v="0"/>
    <x v="0"/>
  </r>
  <r>
    <n v="26305"/>
    <x v="1"/>
    <x v="0"/>
    <n v="60000"/>
    <n v="2"/>
    <x v="0"/>
    <x v="0"/>
    <s v="No"/>
    <n v="0"/>
    <x v="0"/>
    <s v="North America"/>
    <n v="36"/>
    <x v="0"/>
    <x v="1"/>
  </r>
  <r>
    <n v="22050"/>
    <x v="1"/>
    <x v="1"/>
    <n v="90000"/>
    <n v="4"/>
    <x v="0"/>
    <x v="4"/>
    <s v="Yes"/>
    <n v="1"/>
    <x v="3"/>
    <s v="North America"/>
    <n v="38"/>
    <x v="0"/>
    <x v="1"/>
  </r>
  <r>
    <n v="25394"/>
    <x v="0"/>
    <x v="1"/>
    <n v="60000"/>
    <n v="1"/>
    <x v="4"/>
    <x v="2"/>
    <s v="Yes"/>
    <n v="0"/>
    <x v="1"/>
    <s v="North America"/>
    <n v="34"/>
    <x v="1"/>
    <x v="1"/>
  </r>
  <r>
    <n v="19747"/>
    <x v="0"/>
    <x v="1"/>
    <n v="50000"/>
    <n v="4"/>
    <x v="0"/>
    <x v="4"/>
    <s v="Yes"/>
    <n v="2"/>
    <x v="4"/>
    <s v="North America"/>
    <n v="63"/>
    <x v="0"/>
    <x v="0"/>
  </r>
  <r>
    <n v="23195"/>
    <x v="1"/>
    <x v="1"/>
    <n v="50000"/>
    <n v="3"/>
    <x v="0"/>
    <x v="0"/>
    <s v="Yes"/>
    <n v="2"/>
    <x v="1"/>
    <s v="North America"/>
    <n v="41"/>
    <x v="0"/>
    <x v="1"/>
  </r>
  <r>
    <n v="21695"/>
    <x v="0"/>
    <x v="1"/>
    <n v="60000"/>
    <n v="0"/>
    <x v="4"/>
    <x v="0"/>
    <s v="Yes"/>
    <n v="0"/>
    <x v="3"/>
    <s v="North America"/>
    <n v="39"/>
    <x v="0"/>
    <x v="1"/>
  </r>
  <r>
    <n v="13934"/>
    <x v="0"/>
    <x v="1"/>
    <n v="40000"/>
    <n v="4"/>
    <x v="2"/>
    <x v="0"/>
    <s v="Yes"/>
    <n v="2"/>
    <x v="1"/>
    <s v="North America"/>
    <n v="46"/>
    <x v="0"/>
    <x v="0"/>
  </r>
  <r>
    <n v="13337"/>
    <x v="0"/>
    <x v="0"/>
    <n v="80000"/>
    <n v="5"/>
    <x v="0"/>
    <x v="4"/>
    <s v="Yes"/>
    <n v="2"/>
    <x v="2"/>
    <s v="North America"/>
    <n v="64"/>
    <x v="0"/>
    <x v="0"/>
  </r>
  <r>
    <n v="27190"/>
    <x v="0"/>
    <x v="0"/>
    <n v="40000"/>
    <n v="3"/>
    <x v="1"/>
    <x v="1"/>
    <s v="Yes"/>
    <n v="1"/>
    <x v="3"/>
    <s v="North America"/>
    <n v="32"/>
    <x v="0"/>
    <x v="0"/>
  </r>
  <r>
    <n v="28657"/>
    <x v="1"/>
    <x v="1"/>
    <n v="60000"/>
    <n v="2"/>
    <x v="0"/>
    <x v="0"/>
    <s v="Yes"/>
    <n v="0"/>
    <x v="1"/>
    <s v="North America"/>
    <n v="36"/>
    <x v="1"/>
    <x v="1"/>
  </r>
  <r>
    <n v="21713"/>
    <x v="1"/>
    <x v="1"/>
    <n v="80000"/>
    <n v="5"/>
    <x v="4"/>
    <x v="0"/>
    <s v="No"/>
    <n v="0"/>
    <x v="0"/>
    <s v="North America"/>
    <n v="47"/>
    <x v="0"/>
    <x v="0"/>
  </r>
  <r>
    <n v="21752"/>
    <x v="0"/>
    <x v="1"/>
    <n v="60000"/>
    <n v="3"/>
    <x v="4"/>
    <x v="4"/>
    <s v="Yes"/>
    <n v="2"/>
    <x v="4"/>
    <s v="North America"/>
    <n v="64"/>
    <x v="0"/>
    <x v="0"/>
  </r>
  <r>
    <n v="27273"/>
    <x v="1"/>
    <x v="1"/>
    <n v="70000"/>
    <n v="3"/>
    <x v="4"/>
    <x v="2"/>
    <s v="No"/>
    <n v="0"/>
    <x v="0"/>
    <s v="North America"/>
    <n v="35"/>
    <x v="0"/>
    <x v="1"/>
  </r>
  <r>
    <n v="22719"/>
    <x v="1"/>
    <x v="1"/>
    <n v="110000"/>
    <n v="3"/>
    <x v="0"/>
    <x v="4"/>
    <s v="Yes"/>
    <n v="4"/>
    <x v="1"/>
    <s v="North America"/>
    <n v="40"/>
    <x v="0"/>
    <x v="1"/>
  </r>
  <r>
    <n v="22042"/>
    <x v="0"/>
    <x v="0"/>
    <n v="70000"/>
    <n v="0"/>
    <x v="1"/>
    <x v="0"/>
    <s v="Yes"/>
    <n v="2"/>
    <x v="2"/>
    <s v="North America"/>
    <n v="34"/>
    <x v="0"/>
    <x v="1"/>
  </r>
  <r>
    <n v="21451"/>
    <x v="0"/>
    <x v="0"/>
    <n v="40000"/>
    <n v="4"/>
    <x v="2"/>
    <x v="2"/>
    <s v="Yes"/>
    <n v="2"/>
    <x v="4"/>
    <s v="North America"/>
    <n v="61"/>
    <x v="2"/>
    <x v="0"/>
  </r>
  <r>
    <n v="20754"/>
    <x v="0"/>
    <x v="1"/>
    <n v="30000"/>
    <n v="2"/>
    <x v="2"/>
    <x v="0"/>
    <s v="Yes"/>
    <n v="2"/>
    <x v="3"/>
    <s v="North America"/>
    <n v="51"/>
    <x v="2"/>
    <x v="0"/>
  </r>
  <r>
    <n v="12153"/>
    <x v="1"/>
    <x v="0"/>
    <n v="70000"/>
    <n v="3"/>
    <x v="1"/>
    <x v="2"/>
    <s v="Yes"/>
    <n v="1"/>
    <x v="2"/>
    <s v="North America"/>
    <n v="49"/>
    <x v="1"/>
    <x v="1"/>
  </r>
  <r>
    <n v="16895"/>
    <x v="0"/>
    <x v="0"/>
    <n v="40000"/>
    <n v="3"/>
    <x v="1"/>
    <x v="2"/>
    <s v="No"/>
    <n v="2"/>
    <x v="3"/>
    <s v="North America"/>
    <n v="54"/>
    <x v="0"/>
    <x v="1"/>
  </r>
  <r>
    <n v="26728"/>
    <x v="1"/>
    <x v="1"/>
    <n v="70000"/>
    <n v="3"/>
    <x v="4"/>
    <x v="4"/>
    <s v="No"/>
    <n v="2"/>
    <x v="3"/>
    <s v="North America"/>
    <n v="53"/>
    <x v="1"/>
    <x v="1"/>
  </r>
  <r>
    <n v="11090"/>
    <x v="1"/>
    <x v="1"/>
    <n v="90000"/>
    <n v="2"/>
    <x v="1"/>
    <x v="2"/>
    <s v="Yes"/>
    <n v="1"/>
    <x v="1"/>
    <s v="North America"/>
    <n v="48"/>
    <x v="0"/>
    <x v="1"/>
  </r>
  <r>
    <n v="15862"/>
    <x v="1"/>
    <x v="0"/>
    <n v="50000"/>
    <n v="0"/>
    <x v="4"/>
    <x v="0"/>
    <s v="Yes"/>
    <n v="0"/>
    <x v="3"/>
    <s v="North America"/>
    <n v="33"/>
    <x v="2"/>
    <x v="1"/>
  </r>
  <r>
    <n v="26495"/>
    <x v="1"/>
    <x v="0"/>
    <n v="40000"/>
    <n v="2"/>
    <x v="2"/>
    <x v="2"/>
    <s v="Yes"/>
    <n v="2"/>
    <x v="4"/>
    <s v="North America"/>
    <n v="57"/>
    <x v="0"/>
    <x v="0"/>
  </r>
  <r>
    <n v="11823"/>
    <x v="0"/>
    <x v="0"/>
    <n v="70000"/>
    <n v="0"/>
    <x v="4"/>
    <x v="2"/>
    <s v="Yes"/>
    <n v="0"/>
    <x v="1"/>
    <s v="North America"/>
    <n v="39"/>
    <x v="0"/>
    <x v="0"/>
  </r>
  <r>
    <n v="23449"/>
    <x v="0"/>
    <x v="1"/>
    <n v="60000"/>
    <n v="2"/>
    <x v="2"/>
    <x v="2"/>
    <s v="Yes"/>
    <n v="2"/>
    <x v="2"/>
    <s v="North America"/>
    <n v="48"/>
    <x v="0"/>
    <x v="0"/>
  </r>
  <r>
    <n v="23459"/>
    <x v="0"/>
    <x v="1"/>
    <n v="60000"/>
    <n v="2"/>
    <x v="2"/>
    <x v="2"/>
    <s v="Yes"/>
    <n v="2"/>
    <x v="2"/>
    <s v="North America"/>
    <n v="50"/>
    <x v="0"/>
    <x v="0"/>
  </r>
  <r>
    <n v="19543"/>
    <x v="0"/>
    <x v="1"/>
    <n v="70000"/>
    <n v="5"/>
    <x v="4"/>
    <x v="2"/>
    <s v="No"/>
    <n v="3"/>
    <x v="4"/>
    <s v="North America"/>
    <n v="47"/>
    <x v="0"/>
    <x v="0"/>
  </r>
  <r>
    <n v="14914"/>
    <x v="0"/>
    <x v="0"/>
    <n v="40000"/>
    <n v="1"/>
    <x v="1"/>
    <x v="1"/>
    <s v="Yes"/>
    <n v="1"/>
    <x v="3"/>
    <s v="North America"/>
    <n v="49"/>
    <x v="0"/>
    <x v="1"/>
  </r>
  <r>
    <n v="12033"/>
    <x v="1"/>
    <x v="0"/>
    <n v="40000"/>
    <n v="0"/>
    <x v="2"/>
    <x v="0"/>
    <s v="No"/>
    <n v="2"/>
    <x v="0"/>
    <s v="North America"/>
    <n v="27"/>
    <x v="0"/>
    <x v="1"/>
  </r>
  <r>
    <n v="11941"/>
    <x v="1"/>
    <x v="1"/>
    <n v="60000"/>
    <n v="0"/>
    <x v="1"/>
    <x v="0"/>
    <s v="Yes"/>
    <n v="0"/>
    <x v="2"/>
    <s v="North America"/>
    <n v="29"/>
    <x v="1"/>
    <x v="0"/>
  </r>
  <r>
    <n v="14389"/>
    <x v="0"/>
    <x v="1"/>
    <n v="60000"/>
    <n v="2"/>
    <x v="0"/>
    <x v="4"/>
    <s v="Yes"/>
    <n v="0"/>
    <x v="1"/>
    <s v="North America"/>
    <n v="59"/>
    <x v="0"/>
    <x v="0"/>
  </r>
  <r>
    <n v="18050"/>
    <x v="0"/>
    <x v="0"/>
    <n v="60000"/>
    <n v="1"/>
    <x v="1"/>
    <x v="0"/>
    <s v="Yes"/>
    <n v="1"/>
    <x v="0"/>
    <s v="North America"/>
    <n v="45"/>
    <x v="0"/>
    <x v="1"/>
  </r>
  <r>
    <n v="19856"/>
    <x v="0"/>
    <x v="0"/>
    <n v="60000"/>
    <n v="4"/>
    <x v="0"/>
    <x v="4"/>
    <s v="Yes"/>
    <n v="2"/>
    <x v="1"/>
    <s v="North America"/>
    <n v="60"/>
    <x v="0"/>
    <x v="0"/>
  </r>
  <r>
    <n v="11663"/>
    <x v="0"/>
    <x v="1"/>
    <n v="70000"/>
    <n v="4"/>
    <x v="4"/>
    <x v="2"/>
    <s v="Yes"/>
    <n v="0"/>
    <x v="0"/>
    <s v="North America"/>
    <n v="36"/>
    <x v="0"/>
    <x v="1"/>
  </r>
  <r>
    <n v="27740"/>
    <x v="0"/>
    <x v="0"/>
    <n v="40000"/>
    <n v="0"/>
    <x v="2"/>
    <x v="0"/>
    <s v="Yes"/>
    <n v="2"/>
    <x v="2"/>
    <s v="North America"/>
    <n v="27"/>
    <x v="0"/>
    <x v="0"/>
  </r>
  <r>
    <n v="23455"/>
    <x v="1"/>
    <x v="1"/>
    <n v="80000"/>
    <n v="2"/>
    <x v="3"/>
    <x v="0"/>
    <s v="No"/>
    <n v="2"/>
    <x v="3"/>
    <s v="North America"/>
    <n v="50"/>
    <x v="1"/>
    <x v="0"/>
  </r>
  <r>
    <n v="15292"/>
    <x v="1"/>
    <x v="0"/>
    <n v="60000"/>
    <n v="1"/>
    <x v="4"/>
    <x v="0"/>
    <s v="Yes"/>
    <n v="0"/>
    <x v="3"/>
    <s v="North America"/>
    <n v="35"/>
    <x v="2"/>
    <x v="0"/>
  </r>
  <r>
    <n v="21587"/>
    <x v="0"/>
    <x v="0"/>
    <n v="60000"/>
    <n v="1"/>
    <x v="4"/>
    <x v="0"/>
    <s v="Yes"/>
    <n v="0"/>
    <x v="1"/>
    <s v="North America"/>
    <n v="34"/>
    <x v="0"/>
    <x v="1"/>
  </r>
  <r>
    <n v="23513"/>
    <x v="0"/>
    <x v="0"/>
    <n v="40000"/>
    <n v="3"/>
    <x v="1"/>
    <x v="2"/>
    <s v="Yes"/>
    <n v="2"/>
    <x v="2"/>
    <s v="North America"/>
    <n v="54"/>
    <x v="0"/>
    <x v="0"/>
  </r>
  <r>
    <n v="24322"/>
    <x v="0"/>
    <x v="0"/>
    <n v="60000"/>
    <n v="4"/>
    <x v="0"/>
    <x v="0"/>
    <s v="No"/>
    <n v="2"/>
    <x v="0"/>
    <s v="North America"/>
    <n v="42"/>
    <x v="0"/>
    <x v="0"/>
  </r>
  <r>
    <n v="26298"/>
    <x v="0"/>
    <x v="0"/>
    <n v="50000"/>
    <n v="1"/>
    <x v="0"/>
    <x v="0"/>
    <s v="Yes"/>
    <n v="0"/>
    <x v="1"/>
    <s v="North America"/>
    <n v="34"/>
    <x v="2"/>
    <x v="1"/>
  </r>
  <r>
    <n v="25419"/>
    <x v="1"/>
    <x v="1"/>
    <n v="50000"/>
    <n v="2"/>
    <x v="0"/>
    <x v="0"/>
    <s v="No"/>
    <n v="1"/>
    <x v="0"/>
    <s v="North America"/>
    <n v="38"/>
    <x v="0"/>
    <x v="1"/>
  </r>
  <r>
    <n v="13343"/>
    <x v="0"/>
    <x v="0"/>
    <n v="90000"/>
    <n v="5"/>
    <x v="0"/>
    <x v="4"/>
    <s v="Yes"/>
    <n v="2"/>
    <x v="3"/>
    <s v="North America"/>
    <n v="63"/>
    <x v="0"/>
    <x v="1"/>
  </r>
  <r>
    <n v="11303"/>
    <x v="1"/>
    <x v="0"/>
    <n v="90000"/>
    <n v="4"/>
    <x v="2"/>
    <x v="2"/>
    <s v="No"/>
    <n v="3"/>
    <x v="3"/>
    <s v="North America"/>
    <n v="45"/>
    <x v="0"/>
    <x v="1"/>
  </r>
  <r>
    <n v="21693"/>
    <x v="1"/>
    <x v="0"/>
    <n v="60000"/>
    <n v="0"/>
    <x v="4"/>
    <x v="0"/>
    <s v="No"/>
    <n v="0"/>
    <x v="0"/>
    <s v="North America"/>
    <n v="40"/>
    <x v="1"/>
    <x v="0"/>
  </r>
  <r>
    <n v="28056"/>
    <x v="0"/>
    <x v="1"/>
    <n v="70000"/>
    <n v="2"/>
    <x v="3"/>
    <x v="0"/>
    <s v="Yes"/>
    <n v="2"/>
    <x v="4"/>
    <s v="North America"/>
    <n v="53"/>
    <x v="1"/>
    <x v="0"/>
  </r>
  <r>
    <n v="11788"/>
    <x v="1"/>
    <x v="0"/>
    <n v="70000"/>
    <n v="1"/>
    <x v="4"/>
    <x v="2"/>
    <s v="Yes"/>
    <n v="0"/>
    <x v="1"/>
    <s v="North America"/>
    <n v="34"/>
    <x v="1"/>
    <x v="0"/>
  </r>
  <r>
    <n v="22296"/>
    <x v="0"/>
    <x v="1"/>
    <n v="70000"/>
    <n v="0"/>
    <x v="0"/>
    <x v="2"/>
    <s v="No"/>
    <n v="1"/>
    <x v="0"/>
    <s v="North America"/>
    <n v="38"/>
    <x v="1"/>
    <x v="0"/>
  </r>
  <r>
    <n v="15319"/>
    <x v="0"/>
    <x v="0"/>
    <n v="70000"/>
    <n v="4"/>
    <x v="0"/>
    <x v="4"/>
    <s v="No"/>
    <n v="1"/>
    <x v="3"/>
    <s v="North America"/>
    <n v="59"/>
    <x v="0"/>
    <x v="0"/>
  </r>
  <r>
    <n v="17654"/>
    <x v="1"/>
    <x v="0"/>
    <n v="40000"/>
    <n v="3"/>
    <x v="1"/>
    <x v="1"/>
    <s v="Yes"/>
    <n v="1"/>
    <x v="3"/>
    <s v="North America"/>
    <n v="30"/>
    <x v="0"/>
    <x v="1"/>
  </r>
  <r>
    <n v="14662"/>
    <x v="0"/>
    <x v="1"/>
    <n v="60000"/>
    <n v="1"/>
    <x v="0"/>
    <x v="2"/>
    <s v="Yes"/>
    <n v="1"/>
    <x v="0"/>
    <s v="North America"/>
    <n v="48"/>
    <x v="1"/>
    <x v="1"/>
  </r>
  <r>
    <n v="17541"/>
    <x v="0"/>
    <x v="0"/>
    <n v="40000"/>
    <n v="4"/>
    <x v="2"/>
    <x v="0"/>
    <s v="Yes"/>
    <n v="2"/>
    <x v="1"/>
    <s v="North America"/>
    <n v="43"/>
    <x v="2"/>
    <x v="0"/>
  </r>
  <r>
    <n v="13886"/>
    <x v="0"/>
    <x v="0"/>
    <n v="70000"/>
    <n v="4"/>
    <x v="4"/>
    <x v="2"/>
    <s v="Yes"/>
    <n v="0"/>
    <x v="1"/>
    <s v="North America"/>
    <n v="35"/>
    <x v="0"/>
    <x v="1"/>
  </r>
  <r>
    <n v="13073"/>
    <x v="0"/>
    <x v="0"/>
    <n v="60000"/>
    <n v="0"/>
    <x v="1"/>
    <x v="2"/>
    <s v="Yes"/>
    <n v="2"/>
    <x v="2"/>
    <s v="North America"/>
    <n v="30"/>
    <x v="0"/>
    <x v="0"/>
  </r>
  <r>
    <n v="21940"/>
    <x v="0"/>
    <x v="1"/>
    <n v="90000"/>
    <n v="5"/>
    <x v="4"/>
    <x v="2"/>
    <s v="Yes"/>
    <n v="0"/>
    <x v="0"/>
    <s v="North America"/>
    <n v="47"/>
    <x v="0"/>
    <x v="1"/>
  </r>
  <r>
    <n v="20196"/>
    <x v="0"/>
    <x v="1"/>
    <n v="60000"/>
    <n v="1"/>
    <x v="1"/>
    <x v="0"/>
    <s v="Yes"/>
    <n v="1"/>
    <x v="1"/>
    <s v="North America"/>
    <n v="45"/>
    <x v="0"/>
    <x v="1"/>
  </r>
  <r>
    <n v="23491"/>
    <x v="1"/>
    <x v="1"/>
    <n v="100000"/>
    <n v="0"/>
    <x v="1"/>
    <x v="2"/>
    <s v="No"/>
    <n v="4"/>
    <x v="3"/>
    <s v="North America"/>
    <n v="45"/>
    <x v="0"/>
    <x v="0"/>
  </r>
  <r>
    <n v="16651"/>
    <x v="0"/>
    <x v="0"/>
    <n v="120000"/>
    <n v="2"/>
    <x v="0"/>
    <x v="4"/>
    <s v="Yes"/>
    <n v="3"/>
    <x v="2"/>
    <s v="North America"/>
    <n v="62"/>
    <x v="0"/>
    <x v="0"/>
  </r>
  <r>
    <n v="16813"/>
    <x v="0"/>
    <x v="1"/>
    <n v="60000"/>
    <n v="2"/>
    <x v="1"/>
    <x v="2"/>
    <s v="Yes"/>
    <n v="2"/>
    <x v="4"/>
    <s v="North America"/>
    <n v="55"/>
    <x v="0"/>
    <x v="0"/>
  </r>
  <r>
    <n v="16007"/>
    <x v="0"/>
    <x v="0"/>
    <n v="90000"/>
    <n v="5"/>
    <x v="0"/>
    <x v="4"/>
    <s v="Yes"/>
    <n v="2"/>
    <x v="3"/>
    <s v="North America"/>
    <n v="66"/>
    <x v="1"/>
    <x v="1"/>
  </r>
  <r>
    <n v="27434"/>
    <x v="1"/>
    <x v="1"/>
    <n v="70000"/>
    <n v="4"/>
    <x v="1"/>
    <x v="2"/>
    <s v="Yes"/>
    <n v="1"/>
    <x v="4"/>
    <s v="North America"/>
    <n v="56"/>
    <x v="1"/>
    <x v="0"/>
  </r>
  <r>
    <n v="27756"/>
    <x v="1"/>
    <x v="0"/>
    <n v="50000"/>
    <n v="3"/>
    <x v="0"/>
    <x v="0"/>
    <s v="No"/>
    <n v="1"/>
    <x v="0"/>
    <s v="North America"/>
    <n v="40"/>
    <x v="0"/>
    <x v="0"/>
  </r>
  <r>
    <n v="23818"/>
    <x v="0"/>
    <x v="0"/>
    <n v="50000"/>
    <n v="0"/>
    <x v="4"/>
    <x v="0"/>
    <s v="Yes"/>
    <n v="0"/>
    <x v="3"/>
    <s v="North America"/>
    <n v="33"/>
    <x v="0"/>
    <x v="1"/>
  </r>
  <r>
    <n v="19012"/>
    <x v="0"/>
    <x v="1"/>
    <n v="80000"/>
    <n v="3"/>
    <x v="0"/>
    <x v="4"/>
    <s v="Yes"/>
    <n v="1"/>
    <x v="3"/>
    <s v="North America"/>
    <n v="56"/>
    <x v="0"/>
    <x v="0"/>
  </r>
  <r>
    <n v="18329"/>
    <x v="1"/>
    <x v="1"/>
    <n v="30000"/>
    <n v="0"/>
    <x v="3"/>
    <x v="1"/>
    <s v="No"/>
    <n v="2"/>
    <x v="2"/>
    <s v="North America"/>
    <n v="27"/>
    <x v="0"/>
    <x v="0"/>
  </r>
  <r>
    <n v="29037"/>
    <x v="0"/>
    <x v="1"/>
    <n v="60000"/>
    <n v="0"/>
    <x v="4"/>
    <x v="2"/>
    <s v="No"/>
    <n v="0"/>
    <x v="0"/>
    <s v="North America"/>
    <n v="39"/>
    <x v="0"/>
    <x v="0"/>
  </r>
  <r>
    <n v="26576"/>
    <x v="0"/>
    <x v="0"/>
    <n v="60000"/>
    <n v="0"/>
    <x v="1"/>
    <x v="0"/>
    <s v="Yes"/>
    <n v="2"/>
    <x v="2"/>
    <s v="North America"/>
    <n v="31"/>
    <x v="0"/>
    <x v="0"/>
  </r>
  <r>
    <n v="12192"/>
    <x v="1"/>
    <x v="0"/>
    <n v="60000"/>
    <n v="2"/>
    <x v="3"/>
    <x v="0"/>
    <s v="No"/>
    <n v="2"/>
    <x v="3"/>
    <s v="North America"/>
    <n v="51"/>
    <x v="0"/>
    <x v="0"/>
  </r>
  <r>
    <n v="14887"/>
    <x v="0"/>
    <x v="0"/>
    <n v="30000"/>
    <n v="1"/>
    <x v="2"/>
    <x v="1"/>
    <s v="Yes"/>
    <n v="1"/>
    <x v="2"/>
    <s v="North America"/>
    <n v="52"/>
    <x v="0"/>
    <x v="0"/>
  </r>
  <r>
    <n v="11734"/>
    <x v="0"/>
    <x v="1"/>
    <n v="60000"/>
    <n v="1"/>
    <x v="1"/>
    <x v="0"/>
    <s v="No"/>
    <n v="1"/>
    <x v="0"/>
    <s v="North America"/>
    <n v="47"/>
    <x v="1"/>
    <x v="0"/>
  </r>
  <r>
    <n v="17462"/>
    <x v="0"/>
    <x v="1"/>
    <n v="70000"/>
    <n v="3"/>
    <x v="4"/>
    <x v="4"/>
    <s v="Yes"/>
    <n v="2"/>
    <x v="2"/>
    <s v="North America"/>
    <n v="53"/>
    <x v="1"/>
    <x v="1"/>
  </r>
  <r>
    <n v="20659"/>
    <x v="0"/>
    <x v="1"/>
    <n v="70000"/>
    <n v="3"/>
    <x v="4"/>
    <x v="2"/>
    <s v="Yes"/>
    <n v="0"/>
    <x v="0"/>
    <s v="North America"/>
    <n v="35"/>
    <x v="1"/>
    <x v="1"/>
  </r>
  <r>
    <n v="28004"/>
    <x v="0"/>
    <x v="0"/>
    <n v="60000"/>
    <n v="3"/>
    <x v="0"/>
    <x v="4"/>
    <s v="Yes"/>
    <n v="2"/>
    <x v="4"/>
    <s v="North America"/>
    <n v="66"/>
    <x v="0"/>
    <x v="0"/>
  </r>
  <r>
    <n v="19741"/>
    <x v="1"/>
    <x v="0"/>
    <n v="80000"/>
    <n v="4"/>
    <x v="4"/>
    <x v="4"/>
    <s v="Yes"/>
    <n v="2"/>
    <x v="2"/>
    <s v="North America"/>
    <n v="65"/>
    <x v="2"/>
    <x v="0"/>
  </r>
  <r>
    <n v="17450"/>
    <x v="0"/>
    <x v="1"/>
    <n v="80000"/>
    <n v="5"/>
    <x v="1"/>
    <x v="2"/>
    <s v="Yes"/>
    <n v="3"/>
    <x v="2"/>
    <s v="North America"/>
    <n v="45"/>
    <x v="0"/>
    <x v="0"/>
  </r>
  <r>
    <n v="17337"/>
    <x v="1"/>
    <x v="1"/>
    <n v="40000"/>
    <n v="0"/>
    <x v="2"/>
    <x v="0"/>
    <s v="Yes"/>
    <n v="1"/>
    <x v="2"/>
    <s v="North America"/>
    <n v="31"/>
    <x v="0"/>
    <x v="0"/>
  </r>
  <r>
    <n v="18594"/>
    <x v="1"/>
    <x v="0"/>
    <n v="80000"/>
    <n v="3"/>
    <x v="0"/>
    <x v="0"/>
    <s v="Yes"/>
    <n v="3"/>
    <x v="4"/>
    <s v="North America"/>
    <n v="40"/>
    <x v="0"/>
    <x v="1"/>
  </r>
  <r>
    <n v="15982"/>
    <x v="0"/>
    <x v="1"/>
    <n v="110000"/>
    <n v="5"/>
    <x v="1"/>
    <x v="2"/>
    <s v="Yes"/>
    <n v="4"/>
    <x v="1"/>
    <s v="North America"/>
    <n v="46"/>
    <x v="0"/>
    <x v="0"/>
  </r>
  <r>
    <n v="28625"/>
    <x v="1"/>
    <x v="1"/>
    <n v="40000"/>
    <n v="2"/>
    <x v="1"/>
    <x v="1"/>
    <s v="No"/>
    <n v="1"/>
    <x v="3"/>
    <s v="North America"/>
    <n v="47"/>
    <x v="0"/>
    <x v="1"/>
  </r>
  <r>
    <n v="11269"/>
    <x v="0"/>
    <x v="1"/>
    <n v="130000"/>
    <n v="2"/>
    <x v="4"/>
    <x v="4"/>
    <s v="Yes"/>
    <n v="2"/>
    <x v="0"/>
    <s v="North America"/>
    <n v="41"/>
    <x v="0"/>
    <x v="0"/>
  </r>
  <r>
    <n v="25148"/>
    <x v="0"/>
    <x v="1"/>
    <n v="60000"/>
    <n v="2"/>
    <x v="2"/>
    <x v="2"/>
    <s v="No"/>
    <n v="2"/>
    <x v="3"/>
    <s v="North America"/>
    <n v="48"/>
    <x v="0"/>
    <x v="1"/>
  </r>
  <r>
    <n v="13920"/>
    <x v="1"/>
    <x v="0"/>
    <n v="50000"/>
    <n v="4"/>
    <x v="0"/>
    <x v="0"/>
    <s v="Yes"/>
    <n v="2"/>
    <x v="0"/>
    <s v="North America"/>
    <n v="42"/>
    <x v="0"/>
    <x v="0"/>
  </r>
  <r>
    <n v="23704"/>
    <x v="1"/>
    <x v="1"/>
    <n v="40000"/>
    <n v="5"/>
    <x v="2"/>
    <x v="2"/>
    <s v="Yes"/>
    <n v="4"/>
    <x v="4"/>
    <s v="North America"/>
    <n v="60"/>
    <x v="0"/>
    <x v="1"/>
  </r>
  <r>
    <n v="28972"/>
    <x v="1"/>
    <x v="0"/>
    <n v="60000"/>
    <n v="3"/>
    <x v="4"/>
    <x v="4"/>
    <s v="Yes"/>
    <n v="2"/>
    <x v="4"/>
    <s v="North America"/>
    <n v="66"/>
    <x v="2"/>
    <x v="0"/>
  </r>
  <r>
    <n v="22730"/>
    <x v="0"/>
    <x v="1"/>
    <n v="70000"/>
    <n v="5"/>
    <x v="0"/>
    <x v="4"/>
    <s v="Yes"/>
    <n v="2"/>
    <x v="4"/>
    <s v="North America"/>
    <n v="63"/>
    <x v="2"/>
    <x v="0"/>
  </r>
  <r>
    <n v="29134"/>
    <x v="0"/>
    <x v="1"/>
    <n v="60000"/>
    <n v="4"/>
    <x v="0"/>
    <x v="0"/>
    <s v="No"/>
    <n v="3"/>
    <x v="4"/>
    <s v="North America"/>
    <n v="42"/>
    <x v="2"/>
    <x v="0"/>
  </r>
  <r>
    <n v="14332"/>
    <x v="1"/>
    <x v="0"/>
    <n v="30000"/>
    <n v="0"/>
    <x v="2"/>
    <x v="0"/>
    <s v="No"/>
    <n v="2"/>
    <x v="2"/>
    <s v="North America"/>
    <n v="26"/>
    <x v="2"/>
    <x v="0"/>
  </r>
  <r>
    <n v="19117"/>
    <x v="1"/>
    <x v="0"/>
    <n v="60000"/>
    <n v="1"/>
    <x v="4"/>
    <x v="2"/>
    <s v="Yes"/>
    <n v="0"/>
    <x v="1"/>
    <s v="North America"/>
    <n v="36"/>
    <x v="2"/>
    <x v="1"/>
  </r>
  <r>
    <n v="22864"/>
    <x v="0"/>
    <x v="1"/>
    <n v="90000"/>
    <n v="2"/>
    <x v="1"/>
    <x v="2"/>
    <s v="No"/>
    <n v="0"/>
    <x v="2"/>
    <s v="North America"/>
    <n v="49"/>
    <x v="2"/>
    <x v="1"/>
  </r>
  <r>
    <n v="11292"/>
    <x v="1"/>
    <x v="1"/>
    <n v="150000"/>
    <n v="1"/>
    <x v="1"/>
    <x v="2"/>
    <s v="No"/>
    <n v="3"/>
    <x v="0"/>
    <s v="North America"/>
    <n v="44"/>
    <x v="2"/>
    <x v="1"/>
  </r>
  <r>
    <n v="13466"/>
    <x v="0"/>
    <x v="1"/>
    <n v="80000"/>
    <n v="5"/>
    <x v="1"/>
    <x v="2"/>
    <s v="Yes"/>
    <n v="3"/>
    <x v="3"/>
    <s v="North America"/>
    <n v="46"/>
    <x v="2"/>
    <x v="0"/>
  </r>
  <r>
    <n v="23731"/>
    <x v="0"/>
    <x v="1"/>
    <n v="60000"/>
    <n v="2"/>
    <x v="2"/>
    <x v="2"/>
    <s v="Yes"/>
    <n v="2"/>
    <x v="1"/>
    <s v="North America"/>
    <n v="54"/>
    <x v="2"/>
    <x v="1"/>
  </r>
  <r>
    <n v="28672"/>
    <x v="1"/>
    <x v="1"/>
    <n v="70000"/>
    <n v="4"/>
    <x v="4"/>
    <x v="2"/>
    <s v="Yes"/>
    <n v="0"/>
    <x v="1"/>
    <s v="North America"/>
    <n v="35"/>
    <x v="2"/>
    <x v="1"/>
  </r>
  <r>
    <n v="11809"/>
    <x v="0"/>
    <x v="1"/>
    <n v="60000"/>
    <n v="2"/>
    <x v="0"/>
    <x v="0"/>
    <s v="Yes"/>
    <n v="0"/>
    <x v="0"/>
    <s v="North America"/>
    <n v="38"/>
    <x v="2"/>
    <x v="1"/>
  </r>
  <r>
    <n v="19664"/>
    <x v="1"/>
    <x v="1"/>
    <n v="100000"/>
    <n v="3"/>
    <x v="0"/>
    <x v="4"/>
    <s v="No"/>
    <n v="3"/>
    <x v="3"/>
    <s v="North America"/>
    <n v="38"/>
    <x v="2"/>
    <x v="0"/>
  </r>
  <r>
    <n v="12121"/>
    <x v="1"/>
    <x v="1"/>
    <n v="60000"/>
    <n v="3"/>
    <x v="2"/>
    <x v="2"/>
    <s v="Yes"/>
    <n v="2"/>
    <x v="4"/>
    <s v="North America"/>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EE9D7-5E26-4F54-A80F-04A6D8B298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6:J10"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x="0"/>
        <item h="1" x="4"/>
        <item h="1"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AD791-7121-4560-A882-A2F82AAFD0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D8" firstHeaderRow="1" firstDataRow="2" firstDataCol="1"/>
  <pivotFields count="14">
    <pivotField showAll="0"/>
    <pivotField showAll="0">
      <items count="3">
        <item x="0"/>
        <item h="1" x="1"/>
        <item t="default"/>
      </items>
    </pivotField>
    <pivotField showAll="0"/>
    <pivotField showAll="0"/>
    <pivotField showAll="0"/>
    <pivotField showAll="0">
      <items count="6">
        <item x="0"/>
        <item h="1" x="4"/>
        <item h="1" x="2"/>
        <item h="1" x="1"/>
        <item h="1" x="3"/>
        <item t="default"/>
      </items>
    </pivotField>
    <pivotField showAll="0">
      <items count="6">
        <item x="1"/>
        <item x="4"/>
        <item x="3"/>
        <item x="2"/>
        <item x="0"/>
        <item t="default"/>
      </items>
    </pivotField>
    <pivotField showAll="0"/>
    <pivotField showAll="0"/>
    <pivotField axis="axisRow" showAll="0" sortType="descending">
      <items count="7">
        <item x="0"/>
        <item m="1" x="5"/>
        <item x="3"/>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3"/>
    </i>
    <i>
      <x v="5"/>
    </i>
    <i>
      <x v="2"/>
    </i>
    <i>
      <x v="4"/>
    </i>
    <i t="grand">
      <x/>
    </i>
  </rowItems>
  <colFields count="1">
    <field x="13"/>
  </colFields>
  <colItems count="3">
    <i>
      <x/>
    </i>
    <i>
      <x v="1"/>
    </i>
    <i t="grand">
      <x/>
    </i>
  </colItems>
  <dataFields count="1">
    <dataField name="Count of Purchased Bike" fld="13" subtotal="count" baseField="0" baseItem="0"/>
  </dataFields>
  <formats count="1">
    <format dxfId="1">
      <pivotArea outline="0" collapsedLevelsAreSubtotals="1" fieldPosition="0"/>
    </format>
  </formats>
  <chartFormats count="4">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6D81BF-02B7-4562-80F2-C06EB81E94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D33" firstHeaderRow="1" firstDataRow="2" firstDataCol="1"/>
  <pivotFields count="14">
    <pivotField showAll="0"/>
    <pivotField showAll="0">
      <items count="3">
        <item x="0"/>
        <item h="1"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1" xr10:uid="{93A5EA6A-E27C-46ED-885A-889719480490}" sourceName="Marriedarital SingletatuSingle">
  <pivotTables>
    <pivotTable tabId="6" name="PivotTable6"/>
    <pivotTable tabId="6" name="PivotTable7"/>
    <pivotTable tabId="6" name="PivotTable8"/>
  </pivotTables>
  <data>
    <tabular pivotCacheId="85217443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39075A1-8167-4B8A-AEB3-CDE64BCD5D36}" sourceName="Education">
  <pivotTables>
    <pivotTable tabId="6" name="PivotTable7"/>
    <pivotTable tabId="6" name="PivotTable6"/>
    <pivotTable tabId="6" name="PivotTable8"/>
  </pivotTables>
  <data>
    <tabular pivotCacheId="85217443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DC4A842-D032-4097-ACC6-30BD34AD9C60}" sourceName="Occupation">
  <pivotTables>
    <pivotTable tabId="6" name="PivotTable6"/>
  </pivotTables>
  <data>
    <tabular pivotCacheId="85217443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006AD5FC-828C-490D-B69F-4AD57BEB8580}" cache="Slicer_Marriedarital_SingletatuSingle1" caption="Marriedarital SingletatuSingle" rowHeight="234950"/>
  <slicer name="Education" xr10:uid="{8E51A5A9-E8D8-4A12-AAB6-7AFB9C1A645C}" cache="Slicer_Education" caption="Education" rowHeight="234950"/>
  <slicer name="Occupation" xr10:uid="{E4164287-71C0-4F9E-B1F9-BD2A48463988}"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74495F-307D-4F86-B9FD-D4BD7B783AC8}" name="Table1" displayName="Table1" ref="A1:N1027" totalsRowShown="0">
  <autoFilter ref="A1:N1027" xr:uid="{4384218C-1D68-4B74-91EF-1ED1460F694C}">
    <filterColumn colId="2">
      <customFilters>
        <customFilter operator="notEqual" val=" "/>
      </customFilters>
    </filterColumn>
  </autoFilter>
  <tableColumns count="14">
    <tableColumn id="1" xr3:uid="{DA11A995-5DC1-44D6-B5E6-E6DD578AD236}" name="ID"/>
    <tableColumn id="2" xr3:uid="{45C6439D-B274-4A48-A8F4-9F3A0F7B2C17}" name="Marriedarital SingletatuSingle"/>
    <tableColumn id="3" xr3:uid="{17D63341-50FB-4674-9ED4-C40EBED4706B}" name="Gender"/>
    <tableColumn id="4" xr3:uid="{3659A22A-5281-4F3E-88A7-229F6797B77A}" name="Income"/>
    <tableColumn id="5" xr3:uid="{0B195F6A-9048-46F9-A2CA-545D62E0174D}" name="Children"/>
    <tableColumn id="6" xr3:uid="{E8832BA8-4F64-45E2-B55D-EF56B8928060}" name="Education"/>
    <tableColumn id="7" xr3:uid="{2226B429-770D-4242-AD23-AFD98EE899F8}" name="Occupation"/>
    <tableColumn id="8" xr3:uid="{3B37A5F2-E404-4F28-B4B6-B8D3F02713CF}" name="Home Owner"/>
    <tableColumn id="9" xr3:uid="{1EB6B983-A538-4456-BD7C-12CFFF57743E}" name="Cars"/>
    <tableColumn id="10" xr3:uid="{5DCE95C7-1B42-4DB1-998D-5652B6E02F09}" name="Commute Distance"/>
    <tableColumn id="11" xr3:uid="{D1BE02D7-8EE9-4D8D-8494-D7F455A3FE4D}" name="Region"/>
    <tableColumn id="12" xr3:uid="{5E89B8F9-B55C-4C4E-BC90-F3D2B529AFA2}" name="Age"/>
    <tableColumn id="13" xr3:uid="{505572C0-E582-4870-949B-1B5954554E42}" name="Age_group"/>
    <tableColumn id="14" xr3:uid="{BF4D5BB1-09A0-41D4-98E2-A7A32811030F}"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D25" sqref="D2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4218C-1D68-4B74-91EF-1ED1460F694C}">
  <dimension ref="A1:N1027"/>
  <sheetViews>
    <sheetView zoomScale="77" workbookViewId="0">
      <selection activeCell="Q982" sqref="Q982"/>
    </sheetView>
  </sheetViews>
  <sheetFormatPr defaultColWidth="11.88671875" defaultRowHeight="14.4" x14ac:dyDescent="0.3"/>
  <cols>
    <col min="2" max="2" width="28.109375" customWidth="1"/>
    <col min="7" max="7" width="12.6640625" customWidth="1"/>
    <col min="8" max="8" width="14" customWidth="1"/>
    <col min="10" max="10" width="18.88671875" customWidth="1"/>
    <col min="13" max="13" width="12.21875" customWidth="1"/>
    <col min="14" max="14" width="15.88671875" customWidth="1"/>
  </cols>
  <sheetData>
    <row r="1" spans="1:14" x14ac:dyDescent="0.3">
      <c r="A1" t="s">
        <v>0</v>
      </c>
      <c r="B1" t="s">
        <v>37</v>
      </c>
      <c r="C1" t="s">
        <v>2</v>
      </c>
      <c r="D1" t="s">
        <v>3</v>
      </c>
      <c r="E1" t="s">
        <v>4</v>
      </c>
      <c r="F1" t="s">
        <v>5</v>
      </c>
      <c r="G1" t="s">
        <v>6</v>
      </c>
      <c r="H1" t="s">
        <v>7</v>
      </c>
      <c r="I1" t="s">
        <v>8</v>
      </c>
      <c r="J1" t="s">
        <v>9</v>
      </c>
      <c r="K1" t="s">
        <v>10</v>
      </c>
      <c r="L1" t="s">
        <v>11</v>
      </c>
      <c r="M1" t="s">
        <v>41</v>
      </c>
      <c r="N1" t="s">
        <v>12</v>
      </c>
    </row>
    <row r="2" spans="1:14" x14ac:dyDescent="0.3">
      <c r="A2">
        <v>12496</v>
      </c>
      <c r="B2" t="s">
        <v>36</v>
      </c>
      <c r="C2" t="s">
        <v>39</v>
      </c>
      <c r="D2">
        <v>40000</v>
      </c>
      <c r="E2">
        <v>1</v>
      </c>
      <c r="F2" t="s">
        <v>13</v>
      </c>
      <c r="G2" t="s">
        <v>14</v>
      </c>
      <c r="H2" t="s">
        <v>15</v>
      </c>
      <c r="I2">
        <v>0</v>
      </c>
      <c r="J2" t="s">
        <v>16</v>
      </c>
      <c r="K2" t="s">
        <v>17</v>
      </c>
      <c r="L2">
        <v>42</v>
      </c>
      <c r="M2" t="str">
        <f>IF(L15&gt;54, "Old", IF(L15&gt;=31, "Middle Age", IF(L15&lt;31, "Adolescent", "Invalid")))</f>
        <v>Middle Age</v>
      </c>
      <c r="N2" t="s">
        <v>18</v>
      </c>
    </row>
    <row r="3" spans="1:14" x14ac:dyDescent="0.3">
      <c r="A3">
        <v>24107</v>
      </c>
      <c r="B3" t="s">
        <v>36</v>
      </c>
      <c r="C3" t="s">
        <v>40</v>
      </c>
      <c r="D3">
        <v>30000</v>
      </c>
      <c r="E3">
        <v>3</v>
      </c>
      <c r="F3" t="s">
        <v>19</v>
      </c>
      <c r="G3" t="s">
        <v>20</v>
      </c>
      <c r="H3" t="s">
        <v>15</v>
      </c>
      <c r="I3">
        <v>1</v>
      </c>
      <c r="J3" t="s">
        <v>16</v>
      </c>
      <c r="K3" t="s">
        <v>17</v>
      </c>
      <c r="L3">
        <v>43</v>
      </c>
      <c r="M3" t="str">
        <f t="shared" ref="M3:M66" si="0">IF(L16&gt;54, "Old", IF(L16&gt;=31, "Middle Age", IF(L16&lt;31, "Adolescent", "Invalid")))</f>
        <v>Middle Age</v>
      </c>
      <c r="N3" t="s">
        <v>18</v>
      </c>
    </row>
    <row r="4" spans="1:14" x14ac:dyDescent="0.3">
      <c r="A4">
        <v>14177</v>
      </c>
      <c r="B4" t="s">
        <v>36</v>
      </c>
      <c r="C4" t="s">
        <v>40</v>
      </c>
      <c r="D4">
        <v>80000</v>
      </c>
      <c r="E4">
        <v>5</v>
      </c>
      <c r="F4" t="s">
        <v>19</v>
      </c>
      <c r="G4" t="s">
        <v>21</v>
      </c>
      <c r="H4" t="s">
        <v>18</v>
      </c>
      <c r="I4">
        <v>2</v>
      </c>
      <c r="J4" t="s">
        <v>22</v>
      </c>
      <c r="K4" t="s">
        <v>17</v>
      </c>
      <c r="L4">
        <v>60</v>
      </c>
      <c r="M4" t="str">
        <f t="shared" si="0"/>
        <v>Middle Age</v>
      </c>
      <c r="N4" t="s">
        <v>18</v>
      </c>
    </row>
    <row r="5" spans="1:14" x14ac:dyDescent="0.3">
      <c r="A5">
        <v>24381</v>
      </c>
      <c r="B5" t="s">
        <v>38</v>
      </c>
      <c r="C5" t="s">
        <v>40</v>
      </c>
      <c r="D5">
        <v>70000</v>
      </c>
      <c r="E5">
        <v>0</v>
      </c>
      <c r="F5" t="s">
        <v>13</v>
      </c>
      <c r="G5" t="s">
        <v>21</v>
      </c>
      <c r="H5" t="s">
        <v>15</v>
      </c>
      <c r="I5">
        <v>1</v>
      </c>
      <c r="J5" t="s">
        <v>23</v>
      </c>
      <c r="K5" t="s">
        <v>24</v>
      </c>
      <c r="L5">
        <v>41</v>
      </c>
      <c r="M5" t="str">
        <f t="shared" si="0"/>
        <v>Old</v>
      </c>
      <c r="N5" t="s">
        <v>15</v>
      </c>
    </row>
    <row r="6" spans="1:14" x14ac:dyDescent="0.3">
      <c r="A6">
        <v>25597</v>
      </c>
      <c r="B6" t="s">
        <v>38</v>
      </c>
      <c r="C6" t="s">
        <v>40</v>
      </c>
      <c r="D6">
        <v>30000</v>
      </c>
      <c r="E6">
        <v>0</v>
      </c>
      <c r="F6" t="s">
        <v>13</v>
      </c>
      <c r="G6" t="s">
        <v>20</v>
      </c>
      <c r="H6" t="s">
        <v>18</v>
      </c>
      <c r="I6">
        <v>0</v>
      </c>
      <c r="J6" t="s">
        <v>16</v>
      </c>
      <c r="K6" t="s">
        <v>17</v>
      </c>
      <c r="L6">
        <v>36</v>
      </c>
      <c r="M6" t="str">
        <f t="shared" si="0"/>
        <v>Middle Age</v>
      </c>
      <c r="N6" t="s">
        <v>15</v>
      </c>
    </row>
    <row r="7" spans="1:14" x14ac:dyDescent="0.3">
      <c r="A7">
        <v>13507</v>
      </c>
      <c r="B7" t="s">
        <v>36</v>
      </c>
      <c r="C7" t="s">
        <v>39</v>
      </c>
      <c r="D7">
        <v>10000</v>
      </c>
      <c r="E7">
        <v>2</v>
      </c>
      <c r="F7" t="s">
        <v>19</v>
      </c>
      <c r="G7" t="s">
        <v>25</v>
      </c>
      <c r="H7" t="s">
        <v>15</v>
      </c>
      <c r="I7">
        <v>0</v>
      </c>
      <c r="J7" t="s">
        <v>26</v>
      </c>
      <c r="K7" t="s">
        <v>17</v>
      </c>
      <c r="L7">
        <v>50</v>
      </c>
      <c r="M7" t="str">
        <f t="shared" si="0"/>
        <v>Middle Age</v>
      </c>
      <c r="N7" t="s">
        <v>18</v>
      </c>
    </row>
    <row r="8" spans="1:14" x14ac:dyDescent="0.3">
      <c r="A8">
        <v>27974</v>
      </c>
      <c r="B8" t="s">
        <v>38</v>
      </c>
      <c r="C8" t="s">
        <v>40</v>
      </c>
      <c r="D8">
        <v>160000</v>
      </c>
      <c r="E8">
        <v>2</v>
      </c>
      <c r="F8" t="s">
        <v>27</v>
      </c>
      <c r="G8" t="s">
        <v>28</v>
      </c>
      <c r="H8" t="s">
        <v>15</v>
      </c>
      <c r="I8">
        <v>4</v>
      </c>
      <c r="J8" t="s">
        <v>16</v>
      </c>
      <c r="K8" t="s">
        <v>24</v>
      </c>
      <c r="L8">
        <v>33</v>
      </c>
      <c r="M8" t="str">
        <f t="shared" si="0"/>
        <v>Old</v>
      </c>
      <c r="N8" t="s">
        <v>15</v>
      </c>
    </row>
    <row r="9" spans="1:14" x14ac:dyDescent="0.3">
      <c r="A9">
        <v>19364</v>
      </c>
      <c r="B9" t="s">
        <v>36</v>
      </c>
      <c r="C9" t="s">
        <v>40</v>
      </c>
      <c r="D9">
        <v>40000</v>
      </c>
      <c r="E9">
        <v>1</v>
      </c>
      <c r="F9" t="s">
        <v>13</v>
      </c>
      <c r="G9" t="s">
        <v>14</v>
      </c>
      <c r="H9" t="s">
        <v>15</v>
      </c>
      <c r="I9">
        <v>0</v>
      </c>
      <c r="J9" t="s">
        <v>16</v>
      </c>
      <c r="K9" t="s">
        <v>17</v>
      </c>
      <c r="L9">
        <v>43</v>
      </c>
      <c r="M9" t="str">
        <f t="shared" si="0"/>
        <v>Middle Age</v>
      </c>
      <c r="N9" t="s">
        <v>15</v>
      </c>
    </row>
    <row r="10" spans="1:14" x14ac:dyDescent="0.3">
      <c r="A10">
        <v>22155</v>
      </c>
      <c r="B10" t="s">
        <v>36</v>
      </c>
      <c r="C10" t="s">
        <v>40</v>
      </c>
      <c r="D10">
        <v>20000</v>
      </c>
      <c r="E10">
        <v>2</v>
      </c>
      <c r="F10" t="s">
        <v>29</v>
      </c>
      <c r="G10" t="s">
        <v>20</v>
      </c>
      <c r="H10" t="s">
        <v>15</v>
      </c>
      <c r="I10">
        <v>2</v>
      </c>
      <c r="J10" t="s">
        <v>23</v>
      </c>
      <c r="K10" t="s">
        <v>24</v>
      </c>
      <c r="L10">
        <v>58</v>
      </c>
      <c r="M10" t="str">
        <f t="shared" si="0"/>
        <v>Middle Age</v>
      </c>
      <c r="N10" t="s">
        <v>18</v>
      </c>
    </row>
    <row r="11" spans="1:14" x14ac:dyDescent="0.3">
      <c r="A11">
        <v>19280</v>
      </c>
      <c r="B11" t="s">
        <v>36</v>
      </c>
      <c r="C11" t="s">
        <v>40</v>
      </c>
      <c r="D1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v>30000</v>
      </c>
      <c r="E12">
        <v>3</v>
      </c>
      <c r="F12" t="s">
        <v>27</v>
      </c>
      <c r="G12" t="s">
        <v>14</v>
      </c>
      <c r="H12" t="s">
        <v>18</v>
      </c>
      <c r="I12">
        <v>2</v>
      </c>
      <c r="J12" t="s">
        <v>26</v>
      </c>
      <c r="K12" t="s">
        <v>24</v>
      </c>
      <c r="L12">
        <v>54</v>
      </c>
      <c r="M12" t="str">
        <f t="shared" si="0"/>
        <v>Old</v>
      </c>
      <c r="N12" t="s">
        <v>15</v>
      </c>
    </row>
    <row r="13" spans="1:14" x14ac:dyDescent="0.3">
      <c r="A13">
        <v>12697</v>
      </c>
      <c r="B13" t="s">
        <v>38</v>
      </c>
      <c r="C13" t="s">
        <v>39</v>
      </c>
      <c r="D13">
        <v>90000</v>
      </c>
      <c r="E13">
        <v>0</v>
      </c>
      <c r="F13" t="s">
        <v>13</v>
      </c>
      <c r="G13" t="s">
        <v>21</v>
      </c>
      <c r="H13" t="s">
        <v>18</v>
      </c>
      <c r="I13">
        <v>4</v>
      </c>
      <c r="J13" t="s">
        <v>47</v>
      </c>
      <c r="K13" t="s">
        <v>24</v>
      </c>
      <c r="L13">
        <v>36</v>
      </c>
      <c r="M13" t="str">
        <f t="shared" si="0"/>
        <v>Middle Age</v>
      </c>
      <c r="N13" t="s">
        <v>18</v>
      </c>
    </row>
    <row r="14" spans="1:14" x14ac:dyDescent="0.3">
      <c r="A14">
        <v>11434</v>
      </c>
      <c r="B14" t="s">
        <v>36</v>
      </c>
      <c r="C14" t="s">
        <v>40</v>
      </c>
      <c r="D14">
        <v>170000</v>
      </c>
      <c r="E14">
        <v>5</v>
      </c>
      <c r="F14" t="s">
        <v>19</v>
      </c>
      <c r="G14" t="s">
        <v>21</v>
      </c>
      <c r="H14" t="s">
        <v>15</v>
      </c>
      <c r="I14">
        <v>0</v>
      </c>
      <c r="J14" t="s">
        <v>16</v>
      </c>
      <c r="K14" t="s">
        <v>17</v>
      </c>
      <c r="L14">
        <v>55</v>
      </c>
      <c r="M14" t="str">
        <f t="shared" si="0"/>
        <v>Old</v>
      </c>
      <c r="N14" t="s">
        <v>18</v>
      </c>
    </row>
    <row r="15" spans="1:14" x14ac:dyDescent="0.3">
      <c r="A15">
        <v>25323</v>
      </c>
      <c r="B15" t="s">
        <v>36</v>
      </c>
      <c r="C15" t="s">
        <v>40</v>
      </c>
      <c r="D15">
        <v>40000</v>
      </c>
      <c r="E15">
        <v>2</v>
      </c>
      <c r="F15" t="s">
        <v>19</v>
      </c>
      <c r="G15" t="s">
        <v>20</v>
      </c>
      <c r="H15" t="s">
        <v>15</v>
      </c>
      <c r="I15">
        <v>1</v>
      </c>
      <c r="J15" t="s">
        <v>26</v>
      </c>
      <c r="K15" t="s">
        <v>17</v>
      </c>
      <c r="L15">
        <v>35</v>
      </c>
      <c r="M15" t="str">
        <f t="shared" si="0"/>
        <v>Adolescent</v>
      </c>
      <c r="N15" t="s">
        <v>15</v>
      </c>
    </row>
    <row r="16" spans="1:14" x14ac:dyDescent="0.3">
      <c r="A16">
        <v>23542</v>
      </c>
      <c r="B16" t="s">
        <v>38</v>
      </c>
      <c r="C16" t="s">
        <v>40</v>
      </c>
      <c r="D16">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v>10000</v>
      </c>
      <c r="E17">
        <v>2</v>
      </c>
      <c r="F17" t="s">
        <v>27</v>
      </c>
      <c r="G17" t="s">
        <v>25</v>
      </c>
      <c r="H17" t="s">
        <v>15</v>
      </c>
      <c r="I17">
        <v>1</v>
      </c>
      <c r="J17" t="s">
        <v>16</v>
      </c>
      <c r="K17" t="s">
        <v>17</v>
      </c>
      <c r="L17">
        <v>38</v>
      </c>
      <c r="M17" t="str">
        <f t="shared" si="0"/>
        <v>Middle Age</v>
      </c>
      <c r="N17" t="s">
        <v>15</v>
      </c>
    </row>
    <row r="18" spans="1:14" x14ac:dyDescent="0.3">
      <c r="A18">
        <v>23316</v>
      </c>
      <c r="B18" t="s">
        <v>38</v>
      </c>
      <c r="C18" t="s">
        <v>40</v>
      </c>
      <c r="D18">
        <v>30000</v>
      </c>
      <c r="E18">
        <v>3</v>
      </c>
      <c r="F18" t="s">
        <v>19</v>
      </c>
      <c r="G18" t="s">
        <v>20</v>
      </c>
      <c r="H18" t="s">
        <v>18</v>
      </c>
      <c r="I18">
        <v>2</v>
      </c>
      <c r="J18" t="s">
        <v>26</v>
      </c>
      <c r="K18" t="s">
        <v>24</v>
      </c>
      <c r="L18">
        <v>59</v>
      </c>
      <c r="M18" t="str">
        <f t="shared" si="0"/>
        <v>Middle Age</v>
      </c>
      <c r="N18" t="s">
        <v>15</v>
      </c>
    </row>
    <row r="19" spans="1:14" x14ac:dyDescent="0.3">
      <c r="A19">
        <v>12610</v>
      </c>
      <c r="B19" t="s">
        <v>36</v>
      </c>
      <c r="C19" t="s">
        <v>39</v>
      </c>
      <c r="D19">
        <v>30000</v>
      </c>
      <c r="E19">
        <v>1</v>
      </c>
      <c r="F19" t="s">
        <v>13</v>
      </c>
      <c r="G19" t="s">
        <v>20</v>
      </c>
      <c r="H19" t="s">
        <v>15</v>
      </c>
      <c r="I19">
        <v>0</v>
      </c>
      <c r="J19" t="s">
        <v>16</v>
      </c>
      <c r="K19" t="s">
        <v>17</v>
      </c>
      <c r="L19">
        <v>47</v>
      </c>
      <c r="M19" t="str">
        <f t="shared" si="0"/>
        <v>Old</v>
      </c>
      <c r="N19" t="s">
        <v>18</v>
      </c>
    </row>
    <row r="20" spans="1:14" x14ac:dyDescent="0.3">
      <c r="A20">
        <v>27183</v>
      </c>
      <c r="B20" t="s">
        <v>38</v>
      </c>
      <c r="C20" t="s">
        <v>40</v>
      </c>
      <c r="D20">
        <v>40000</v>
      </c>
      <c r="E20">
        <v>2</v>
      </c>
      <c r="F20" t="s">
        <v>19</v>
      </c>
      <c r="G20" t="s">
        <v>20</v>
      </c>
      <c r="H20" t="s">
        <v>15</v>
      </c>
      <c r="I20">
        <v>1</v>
      </c>
      <c r="J20" t="s">
        <v>26</v>
      </c>
      <c r="K20" t="s">
        <v>17</v>
      </c>
      <c r="L20">
        <v>35</v>
      </c>
      <c r="M20" t="str">
        <f t="shared" si="0"/>
        <v>Adolescent</v>
      </c>
      <c r="N20" t="s">
        <v>15</v>
      </c>
    </row>
    <row r="21" spans="1:14" x14ac:dyDescent="0.3">
      <c r="A21">
        <v>25940</v>
      </c>
      <c r="B21" t="s">
        <v>38</v>
      </c>
      <c r="C21" t="s">
        <v>40</v>
      </c>
      <c r="D21">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v>80000</v>
      </c>
      <c r="E23">
        <v>0</v>
      </c>
      <c r="F23" t="s">
        <v>13</v>
      </c>
      <c r="G23" t="s">
        <v>21</v>
      </c>
      <c r="H23" t="s">
        <v>15</v>
      </c>
      <c r="I23">
        <v>4</v>
      </c>
      <c r="J23" t="s">
        <v>47</v>
      </c>
      <c r="K23" t="s">
        <v>24</v>
      </c>
      <c r="L23">
        <v>35</v>
      </c>
      <c r="M23" t="str">
        <f t="shared" si="0"/>
        <v>Old</v>
      </c>
      <c r="N23" t="s">
        <v>18</v>
      </c>
    </row>
    <row r="24" spans="1:14" x14ac:dyDescent="0.3">
      <c r="A24">
        <v>19193</v>
      </c>
      <c r="B24" t="s">
        <v>38</v>
      </c>
      <c r="C24" t="s">
        <v>40</v>
      </c>
      <c r="D2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v>80000</v>
      </c>
      <c r="E25">
        <v>5</v>
      </c>
      <c r="F25" t="s">
        <v>27</v>
      </c>
      <c r="G25" t="s">
        <v>28</v>
      </c>
      <c r="H25" t="s">
        <v>18</v>
      </c>
      <c r="I25">
        <v>3</v>
      </c>
      <c r="J25" t="s">
        <v>23</v>
      </c>
      <c r="K25" t="s">
        <v>17</v>
      </c>
      <c r="L25">
        <v>56</v>
      </c>
      <c r="M25" t="str">
        <f t="shared" si="0"/>
        <v>Middle Age</v>
      </c>
      <c r="N25" t="s">
        <v>18</v>
      </c>
    </row>
    <row r="26" spans="1:14" x14ac:dyDescent="0.3">
      <c r="A26">
        <v>27184</v>
      </c>
      <c r="B26" t="s">
        <v>38</v>
      </c>
      <c r="C26" t="s">
        <v>40</v>
      </c>
      <c r="D26">
        <v>40000</v>
      </c>
      <c r="E26">
        <v>2</v>
      </c>
      <c r="F26" t="s">
        <v>19</v>
      </c>
      <c r="G26" t="s">
        <v>20</v>
      </c>
      <c r="H26" t="s">
        <v>18</v>
      </c>
      <c r="I26">
        <v>1</v>
      </c>
      <c r="J26" t="s">
        <v>16</v>
      </c>
      <c r="K26" t="s">
        <v>17</v>
      </c>
      <c r="L26">
        <v>34</v>
      </c>
      <c r="M26" t="str">
        <f t="shared" si="0"/>
        <v>Adolescent</v>
      </c>
      <c r="N26" t="s">
        <v>18</v>
      </c>
    </row>
    <row r="27" spans="1:14" x14ac:dyDescent="0.3">
      <c r="A27">
        <v>12590</v>
      </c>
      <c r="B27" t="s">
        <v>38</v>
      </c>
      <c r="C27" t="s">
        <v>40</v>
      </c>
      <c r="D27">
        <v>30000</v>
      </c>
      <c r="E27">
        <v>1</v>
      </c>
      <c r="F27" t="s">
        <v>13</v>
      </c>
      <c r="G27" t="s">
        <v>20</v>
      </c>
      <c r="H27" t="s">
        <v>15</v>
      </c>
      <c r="I27">
        <v>0</v>
      </c>
      <c r="J27" t="s">
        <v>16</v>
      </c>
      <c r="K27" t="s">
        <v>17</v>
      </c>
      <c r="L27">
        <v>63</v>
      </c>
      <c r="M27" t="str">
        <f t="shared" si="0"/>
        <v>Adolescent</v>
      </c>
      <c r="N27" t="s">
        <v>18</v>
      </c>
    </row>
    <row r="28" spans="1:14" x14ac:dyDescent="0.3">
      <c r="A28">
        <v>17841</v>
      </c>
      <c r="B28" t="s">
        <v>38</v>
      </c>
      <c r="C28" t="s">
        <v>40</v>
      </c>
      <c r="D28">
        <v>30000</v>
      </c>
      <c r="E28">
        <v>0</v>
      </c>
      <c r="F28" t="s">
        <v>19</v>
      </c>
      <c r="G28" t="s">
        <v>20</v>
      </c>
      <c r="H28" t="s">
        <v>18</v>
      </c>
      <c r="I28">
        <v>1</v>
      </c>
      <c r="J28" t="s">
        <v>16</v>
      </c>
      <c r="K28" t="s">
        <v>17</v>
      </c>
      <c r="L28">
        <v>29</v>
      </c>
      <c r="M28" t="str">
        <f t="shared" si="0"/>
        <v>Middle Age</v>
      </c>
      <c r="N28" t="s">
        <v>15</v>
      </c>
    </row>
    <row r="29" spans="1:14" x14ac:dyDescent="0.3">
      <c r="A29">
        <v>18283</v>
      </c>
      <c r="B29" t="s">
        <v>38</v>
      </c>
      <c r="C29" t="s">
        <v>39</v>
      </c>
      <c r="D29">
        <v>100000</v>
      </c>
      <c r="E29">
        <v>0</v>
      </c>
      <c r="F29" t="s">
        <v>13</v>
      </c>
      <c r="G29" t="s">
        <v>21</v>
      </c>
      <c r="H29" t="s">
        <v>18</v>
      </c>
      <c r="I29">
        <v>1</v>
      </c>
      <c r="J29" t="s">
        <v>23</v>
      </c>
      <c r="K29" t="s">
        <v>24</v>
      </c>
      <c r="L29">
        <v>40</v>
      </c>
      <c r="M29" t="str">
        <f t="shared" si="0"/>
        <v>Middle Age</v>
      </c>
      <c r="N29" t="s">
        <v>18</v>
      </c>
    </row>
    <row r="30" spans="1:14" x14ac:dyDescent="0.3">
      <c r="A30">
        <v>18299</v>
      </c>
      <c r="B30" t="s">
        <v>36</v>
      </c>
      <c r="C30" t="s">
        <v>40</v>
      </c>
      <c r="D30">
        <v>70000</v>
      </c>
      <c r="E30">
        <v>5</v>
      </c>
      <c r="F30" t="s">
        <v>19</v>
      </c>
      <c r="G30" t="s">
        <v>14</v>
      </c>
      <c r="H30" t="s">
        <v>15</v>
      </c>
      <c r="I30">
        <v>2</v>
      </c>
      <c r="J30" t="s">
        <v>23</v>
      </c>
      <c r="K30" t="s">
        <v>24</v>
      </c>
      <c r="L30">
        <v>44</v>
      </c>
      <c r="M30" t="str">
        <f t="shared" si="0"/>
        <v>Old</v>
      </c>
      <c r="N30" t="s">
        <v>18</v>
      </c>
    </row>
    <row r="31" spans="1:14" x14ac:dyDescent="0.3">
      <c r="A31">
        <v>16466</v>
      </c>
      <c r="B31" t="s">
        <v>38</v>
      </c>
      <c r="C31" t="s">
        <v>39</v>
      </c>
      <c r="D3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v>20000</v>
      </c>
      <c r="E32">
        <v>2</v>
      </c>
      <c r="F32" t="s">
        <v>19</v>
      </c>
      <c r="G32" t="s">
        <v>25</v>
      </c>
      <c r="H32" t="s">
        <v>15</v>
      </c>
      <c r="I32">
        <v>0</v>
      </c>
      <c r="J32" t="s">
        <v>16</v>
      </c>
      <c r="K32" t="s">
        <v>17</v>
      </c>
      <c r="L32">
        <v>63</v>
      </c>
      <c r="M32" t="str">
        <f t="shared" si="0"/>
        <v>Middle Age</v>
      </c>
      <c r="N32" t="s">
        <v>18</v>
      </c>
    </row>
    <row r="33" spans="1:14" x14ac:dyDescent="0.3">
      <c r="A33">
        <v>22400</v>
      </c>
      <c r="B33" t="s">
        <v>36</v>
      </c>
      <c r="C33" t="s">
        <v>40</v>
      </c>
      <c r="D33">
        <v>10000</v>
      </c>
      <c r="E33">
        <v>0</v>
      </c>
      <c r="F33" t="s">
        <v>19</v>
      </c>
      <c r="G33" t="s">
        <v>25</v>
      </c>
      <c r="H33" t="s">
        <v>18</v>
      </c>
      <c r="I33">
        <v>1</v>
      </c>
      <c r="J33" t="s">
        <v>16</v>
      </c>
      <c r="K33" t="s">
        <v>24</v>
      </c>
      <c r="L33">
        <v>26</v>
      </c>
      <c r="M33" t="str">
        <f t="shared" si="0"/>
        <v>Middle Age</v>
      </c>
      <c r="N33" t="s">
        <v>15</v>
      </c>
    </row>
    <row r="34" spans="1:14" x14ac:dyDescent="0.3">
      <c r="A34">
        <v>20942</v>
      </c>
      <c r="B34" t="s">
        <v>38</v>
      </c>
      <c r="C34" t="s">
        <v>39</v>
      </c>
      <c r="D34">
        <v>20000</v>
      </c>
      <c r="E34">
        <v>0</v>
      </c>
      <c r="F34" t="s">
        <v>27</v>
      </c>
      <c r="G34" t="s">
        <v>25</v>
      </c>
      <c r="H34" t="s">
        <v>18</v>
      </c>
      <c r="I34">
        <v>1</v>
      </c>
      <c r="J34" t="s">
        <v>23</v>
      </c>
      <c r="K34" t="s">
        <v>17</v>
      </c>
      <c r="L34">
        <v>31</v>
      </c>
      <c r="M34" t="str">
        <f t="shared" si="0"/>
        <v>Old</v>
      </c>
      <c r="N34" t="s">
        <v>18</v>
      </c>
    </row>
    <row r="35" spans="1:14" x14ac:dyDescent="0.3">
      <c r="A35">
        <v>18484</v>
      </c>
      <c r="B35" t="s">
        <v>38</v>
      </c>
      <c r="C35" t="s">
        <v>40</v>
      </c>
      <c r="D35">
        <v>80000</v>
      </c>
      <c r="E35">
        <v>2</v>
      </c>
      <c r="F35" t="s">
        <v>27</v>
      </c>
      <c r="G35" t="s">
        <v>14</v>
      </c>
      <c r="H35" t="s">
        <v>18</v>
      </c>
      <c r="I35">
        <v>2</v>
      </c>
      <c r="J35" t="s">
        <v>26</v>
      </c>
      <c r="K35" t="s">
        <v>24</v>
      </c>
      <c r="L35">
        <v>50</v>
      </c>
      <c r="M35" t="str">
        <f t="shared" si="0"/>
        <v>Middle Age</v>
      </c>
      <c r="N35" t="s">
        <v>15</v>
      </c>
    </row>
    <row r="36" spans="1:14" x14ac:dyDescent="0.3">
      <c r="A36">
        <v>12291</v>
      </c>
      <c r="B36" t="s">
        <v>38</v>
      </c>
      <c r="C36" t="s">
        <v>40</v>
      </c>
      <c r="D36">
        <v>90000</v>
      </c>
      <c r="E36">
        <v>5</v>
      </c>
      <c r="F36" t="s">
        <v>19</v>
      </c>
      <c r="G36" t="s">
        <v>21</v>
      </c>
      <c r="H36" t="s">
        <v>18</v>
      </c>
      <c r="I36">
        <v>2</v>
      </c>
      <c r="J36" t="s">
        <v>22</v>
      </c>
      <c r="K36" t="s">
        <v>17</v>
      </c>
      <c r="L36">
        <v>62</v>
      </c>
      <c r="M36" t="str">
        <f t="shared" si="0"/>
        <v>Middle Age</v>
      </c>
      <c r="N36" t="s">
        <v>15</v>
      </c>
    </row>
    <row r="37" spans="1:14" x14ac:dyDescent="0.3">
      <c r="A37">
        <v>28380</v>
      </c>
      <c r="B37" t="s">
        <v>38</v>
      </c>
      <c r="C37" t="s">
        <v>39</v>
      </c>
      <c r="D37">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v>30000</v>
      </c>
      <c r="E39">
        <v>0</v>
      </c>
      <c r="F39" t="s">
        <v>19</v>
      </c>
      <c r="G39" t="s">
        <v>20</v>
      </c>
      <c r="H39" t="s">
        <v>18</v>
      </c>
      <c r="I39">
        <v>1</v>
      </c>
      <c r="J39" t="s">
        <v>22</v>
      </c>
      <c r="K39" t="s">
        <v>17</v>
      </c>
      <c r="L39">
        <v>30</v>
      </c>
      <c r="M39" t="str">
        <f t="shared" si="0"/>
        <v>Adolescent</v>
      </c>
      <c r="N39" t="s">
        <v>18</v>
      </c>
    </row>
    <row r="40" spans="1:14" x14ac:dyDescent="0.3">
      <c r="A40">
        <v>26863</v>
      </c>
      <c r="B40" t="s">
        <v>38</v>
      </c>
      <c r="C40" t="s">
        <v>40</v>
      </c>
      <c r="D40">
        <v>20000</v>
      </c>
      <c r="E40">
        <v>0</v>
      </c>
      <c r="F40" t="s">
        <v>27</v>
      </c>
      <c r="G40" t="s">
        <v>25</v>
      </c>
      <c r="H40" t="s">
        <v>18</v>
      </c>
      <c r="I40">
        <v>1</v>
      </c>
      <c r="J40" t="s">
        <v>22</v>
      </c>
      <c r="K40" t="s">
        <v>17</v>
      </c>
      <c r="L40">
        <v>28</v>
      </c>
      <c r="M40" t="str">
        <f t="shared" si="0"/>
        <v>Middle Age</v>
      </c>
      <c r="N40" t="s">
        <v>18</v>
      </c>
    </row>
    <row r="41" spans="1:14" x14ac:dyDescent="0.3">
      <c r="A41">
        <v>16259</v>
      </c>
      <c r="B41" t="s">
        <v>38</v>
      </c>
      <c r="C41" t="s">
        <v>39</v>
      </c>
      <c r="D41">
        <v>10000</v>
      </c>
      <c r="E41">
        <v>4</v>
      </c>
      <c r="F41" t="s">
        <v>29</v>
      </c>
      <c r="G41" t="s">
        <v>25</v>
      </c>
      <c r="H41" t="s">
        <v>15</v>
      </c>
      <c r="I41">
        <v>2</v>
      </c>
      <c r="J41" t="s">
        <v>16</v>
      </c>
      <c r="K41" t="s">
        <v>17</v>
      </c>
      <c r="L41">
        <v>40</v>
      </c>
      <c r="M41" t="str">
        <f t="shared" si="0"/>
        <v>Old</v>
      </c>
      <c r="N41" t="s">
        <v>15</v>
      </c>
    </row>
    <row r="42" spans="1:14" x14ac:dyDescent="0.3">
      <c r="A42">
        <v>27803</v>
      </c>
      <c r="B42" t="s">
        <v>38</v>
      </c>
      <c r="C42" t="s">
        <v>39</v>
      </c>
      <c r="D42">
        <v>30000</v>
      </c>
      <c r="E42">
        <v>2</v>
      </c>
      <c r="F42" t="s">
        <v>19</v>
      </c>
      <c r="G42" t="s">
        <v>20</v>
      </c>
      <c r="H42" t="s">
        <v>18</v>
      </c>
      <c r="I42">
        <v>0</v>
      </c>
      <c r="J42" t="s">
        <v>16</v>
      </c>
      <c r="K42" t="s">
        <v>17</v>
      </c>
      <c r="L42">
        <v>43</v>
      </c>
      <c r="M42" t="str">
        <f t="shared" si="0"/>
        <v>Old</v>
      </c>
      <c r="N42" t="s">
        <v>18</v>
      </c>
    </row>
    <row r="43" spans="1:14" x14ac:dyDescent="0.3">
      <c r="A43">
        <v>14347</v>
      </c>
      <c r="B43" t="s">
        <v>38</v>
      </c>
      <c r="C43" t="s">
        <v>39</v>
      </c>
      <c r="D43">
        <v>40000</v>
      </c>
      <c r="E43">
        <v>2</v>
      </c>
      <c r="F43" t="s">
        <v>13</v>
      </c>
      <c r="G43" t="s">
        <v>28</v>
      </c>
      <c r="H43" t="s">
        <v>15</v>
      </c>
      <c r="I43">
        <v>2</v>
      </c>
      <c r="J43" t="s">
        <v>23</v>
      </c>
      <c r="K43" t="s">
        <v>24</v>
      </c>
      <c r="L43">
        <v>65</v>
      </c>
      <c r="M43" t="str">
        <f t="shared" si="0"/>
        <v>Middle Age</v>
      </c>
      <c r="N43" t="s">
        <v>15</v>
      </c>
    </row>
    <row r="44" spans="1:14" x14ac:dyDescent="0.3">
      <c r="A44">
        <v>17703</v>
      </c>
      <c r="B44" t="s">
        <v>36</v>
      </c>
      <c r="C44" t="s">
        <v>39</v>
      </c>
      <c r="D4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v>20000</v>
      </c>
      <c r="E46">
        <v>3</v>
      </c>
      <c r="F46" t="s">
        <v>27</v>
      </c>
      <c r="G46" t="s">
        <v>25</v>
      </c>
      <c r="H46" t="s">
        <v>15</v>
      </c>
      <c r="I46">
        <v>0</v>
      </c>
      <c r="J46" t="s">
        <v>16</v>
      </c>
      <c r="K46" t="s">
        <v>17</v>
      </c>
      <c r="L46">
        <v>41</v>
      </c>
      <c r="M46" t="str">
        <f t="shared" si="0"/>
        <v>Old</v>
      </c>
      <c r="N46" t="s">
        <v>15</v>
      </c>
    </row>
    <row r="47" spans="1:14" x14ac:dyDescent="0.3">
      <c r="A47">
        <v>23986</v>
      </c>
      <c r="B47" t="s">
        <v>36</v>
      </c>
      <c r="C47" t="s">
        <v>39</v>
      </c>
      <c r="D47">
        <v>20000</v>
      </c>
      <c r="E47">
        <v>1</v>
      </c>
      <c r="F47" t="s">
        <v>13</v>
      </c>
      <c r="G47" t="s">
        <v>20</v>
      </c>
      <c r="H47" t="s">
        <v>15</v>
      </c>
      <c r="I47">
        <v>0</v>
      </c>
      <c r="J47" t="s">
        <v>16</v>
      </c>
      <c r="K47" t="s">
        <v>17</v>
      </c>
      <c r="L47">
        <v>66</v>
      </c>
      <c r="M47" t="str">
        <f t="shared" si="0"/>
        <v>Middle Age</v>
      </c>
      <c r="N47" t="s">
        <v>15</v>
      </c>
    </row>
    <row r="48" spans="1:14" x14ac:dyDescent="0.3">
      <c r="A48">
        <v>24466</v>
      </c>
      <c r="B48" t="s">
        <v>36</v>
      </c>
      <c r="C48" t="s">
        <v>39</v>
      </c>
      <c r="D48">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v>40000</v>
      </c>
      <c r="E49">
        <v>2</v>
      </c>
      <c r="F49" t="s">
        <v>19</v>
      </c>
      <c r="G49" t="s">
        <v>14</v>
      </c>
      <c r="H49" t="s">
        <v>15</v>
      </c>
      <c r="I49">
        <v>2</v>
      </c>
      <c r="J49" t="s">
        <v>23</v>
      </c>
      <c r="K49" t="s">
        <v>24</v>
      </c>
      <c r="L49">
        <v>52</v>
      </c>
      <c r="M49" t="str">
        <f t="shared" si="0"/>
        <v>Middle Age</v>
      </c>
      <c r="N49" t="s">
        <v>15</v>
      </c>
    </row>
    <row r="50" spans="1:14" x14ac:dyDescent="0.3">
      <c r="A50">
        <v>19487</v>
      </c>
      <c r="B50" t="s">
        <v>36</v>
      </c>
      <c r="C50" t="s">
        <v>40</v>
      </c>
      <c r="D50">
        <v>30000</v>
      </c>
      <c r="E50">
        <v>2</v>
      </c>
      <c r="F50" t="s">
        <v>19</v>
      </c>
      <c r="G50" t="s">
        <v>20</v>
      </c>
      <c r="H50" t="s">
        <v>18</v>
      </c>
      <c r="I50">
        <v>2</v>
      </c>
      <c r="J50" t="s">
        <v>16</v>
      </c>
      <c r="K50" t="s">
        <v>17</v>
      </c>
      <c r="L50">
        <v>42</v>
      </c>
      <c r="M50" t="str">
        <f t="shared" si="0"/>
        <v>Middle Age</v>
      </c>
      <c r="N50" t="s">
        <v>18</v>
      </c>
    </row>
    <row r="51" spans="1:14" x14ac:dyDescent="0.3">
      <c r="A51">
        <v>14939</v>
      </c>
      <c r="B51" t="s">
        <v>38</v>
      </c>
      <c r="C51" t="s">
        <v>40</v>
      </c>
      <c r="D51">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v>30000</v>
      </c>
      <c r="E52">
        <v>0</v>
      </c>
      <c r="F52" t="s">
        <v>19</v>
      </c>
      <c r="G52" t="s">
        <v>20</v>
      </c>
      <c r="H52" t="s">
        <v>18</v>
      </c>
      <c r="I52">
        <v>1</v>
      </c>
      <c r="J52" t="s">
        <v>16</v>
      </c>
      <c r="K52" t="s">
        <v>17</v>
      </c>
      <c r="L52">
        <v>28</v>
      </c>
      <c r="M52" t="str">
        <f t="shared" si="0"/>
        <v>Middle Age</v>
      </c>
      <c r="N52" t="s">
        <v>18</v>
      </c>
    </row>
    <row r="53" spans="1:14" x14ac:dyDescent="0.3">
      <c r="A53">
        <v>20619</v>
      </c>
      <c r="B53" t="s">
        <v>38</v>
      </c>
      <c r="C53" t="s">
        <v>40</v>
      </c>
      <c r="D5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v>90000</v>
      </c>
      <c r="E55">
        <v>4</v>
      </c>
      <c r="F55" t="s">
        <v>27</v>
      </c>
      <c r="G55" t="s">
        <v>28</v>
      </c>
      <c r="H55" t="s">
        <v>18</v>
      </c>
      <c r="I55">
        <v>3</v>
      </c>
      <c r="J55" t="s">
        <v>23</v>
      </c>
      <c r="K55" t="s">
        <v>17</v>
      </c>
      <c r="L55">
        <v>56</v>
      </c>
      <c r="M55" t="str">
        <f t="shared" si="0"/>
        <v>Middle Age</v>
      </c>
      <c r="N55" t="s">
        <v>18</v>
      </c>
    </row>
    <row r="56" spans="1:14" x14ac:dyDescent="0.3">
      <c r="A56">
        <v>17319</v>
      </c>
      <c r="B56" t="s">
        <v>38</v>
      </c>
      <c r="C56" t="s">
        <v>39</v>
      </c>
      <c r="D56">
        <v>70000</v>
      </c>
      <c r="E56">
        <v>0</v>
      </c>
      <c r="F56" t="s">
        <v>13</v>
      </c>
      <c r="G56" t="s">
        <v>21</v>
      </c>
      <c r="H56" t="s">
        <v>18</v>
      </c>
      <c r="I56">
        <v>1</v>
      </c>
      <c r="J56" t="s">
        <v>23</v>
      </c>
      <c r="K56" t="s">
        <v>24</v>
      </c>
      <c r="L56">
        <v>42</v>
      </c>
      <c r="M56" t="str">
        <f t="shared" si="0"/>
        <v>Middle Age</v>
      </c>
      <c r="N56" t="s">
        <v>18</v>
      </c>
    </row>
    <row r="57" spans="1:14" x14ac:dyDescent="0.3">
      <c r="A57">
        <v>28906</v>
      </c>
      <c r="B57" t="s">
        <v>36</v>
      </c>
      <c r="C57" t="s">
        <v>40</v>
      </c>
      <c r="D57">
        <v>80000</v>
      </c>
      <c r="E57">
        <v>4</v>
      </c>
      <c r="F57" t="s">
        <v>27</v>
      </c>
      <c r="G57" t="s">
        <v>21</v>
      </c>
      <c r="H57" t="s">
        <v>15</v>
      </c>
      <c r="I57">
        <v>2</v>
      </c>
      <c r="J57" t="s">
        <v>47</v>
      </c>
      <c r="K57" t="s">
        <v>17</v>
      </c>
      <c r="L57">
        <v>54</v>
      </c>
      <c r="M57" t="str">
        <f t="shared" si="0"/>
        <v>Middle Age</v>
      </c>
      <c r="N57" t="s">
        <v>18</v>
      </c>
    </row>
    <row r="58" spans="1:14" x14ac:dyDescent="0.3">
      <c r="A58">
        <v>12808</v>
      </c>
      <c r="B58" t="s">
        <v>36</v>
      </c>
      <c r="C58" t="s">
        <v>40</v>
      </c>
      <c r="D58">
        <v>40000</v>
      </c>
      <c r="E58">
        <v>0</v>
      </c>
      <c r="F58" t="s">
        <v>13</v>
      </c>
      <c r="G58" t="s">
        <v>20</v>
      </c>
      <c r="H58" t="s">
        <v>15</v>
      </c>
      <c r="I58">
        <v>0</v>
      </c>
      <c r="J58" t="s">
        <v>16</v>
      </c>
      <c r="K58" t="s">
        <v>17</v>
      </c>
      <c r="L58">
        <v>38</v>
      </c>
      <c r="M58" t="str">
        <f t="shared" si="0"/>
        <v>Adolescent</v>
      </c>
      <c r="N58" t="s">
        <v>15</v>
      </c>
    </row>
    <row r="59" spans="1:14" x14ac:dyDescent="0.3">
      <c r="A59">
        <v>20567</v>
      </c>
      <c r="B59" t="s">
        <v>36</v>
      </c>
      <c r="C59" t="s">
        <v>40</v>
      </c>
      <c r="D59">
        <v>130000</v>
      </c>
      <c r="E59">
        <v>4</v>
      </c>
      <c r="F59" t="s">
        <v>19</v>
      </c>
      <c r="G59" t="s">
        <v>21</v>
      </c>
      <c r="H59" t="s">
        <v>18</v>
      </c>
      <c r="I59">
        <v>4</v>
      </c>
      <c r="J59" t="s">
        <v>23</v>
      </c>
      <c r="K59" t="s">
        <v>17</v>
      </c>
      <c r="L59">
        <v>61</v>
      </c>
      <c r="M59" t="str">
        <f t="shared" si="0"/>
        <v>Middle Age</v>
      </c>
      <c r="N59" t="s">
        <v>15</v>
      </c>
    </row>
    <row r="60" spans="1:14" x14ac:dyDescent="0.3">
      <c r="A60">
        <v>25502</v>
      </c>
      <c r="B60" t="s">
        <v>36</v>
      </c>
      <c r="C60" t="s">
        <v>39</v>
      </c>
      <c r="D60">
        <v>40000</v>
      </c>
      <c r="E60">
        <v>1</v>
      </c>
      <c r="F60" t="s">
        <v>13</v>
      </c>
      <c r="G60" t="s">
        <v>14</v>
      </c>
      <c r="H60" t="s">
        <v>15</v>
      </c>
      <c r="I60">
        <v>0</v>
      </c>
      <c r="J60" t="s">
        <v>16</v>
      </c>
      <c r="K60" t="s">
        <v>17</v>
      </c>
      <c r="L60">
        <v>43</v>
      </c>
      <c r="M60" t="str">
        <f t="shared" si="0"/>
        <v>Middle Age</v>
      </c>
      <c r="N60" t="s">
        <v>15</v>
      </c>
    </row>
    <row r="61" spans="1:14" x14ac:dyDescent="0.3">
      <c r="A61">
        <v>15580</v>
      </c>
      <c r="B61" t="s">
        <v>36</v>
      </c>
      <c r="C61" t="s">
        <v>40</v>
      </c>
      <c r="D61">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v>10000</v>
      </c>
      <c r="E63">
        <v>2</v>
      </c>
      <c r="F63" t="s">
        <v>27</v>
      </c>
      <c r="G63" t="s">
        <v>25</v>
      </c>
      <c r="H63" t="s">
        <v>15</v>
      </c>
      <c r="I63">
        <v>0</v>
      </c>
      <c r="J63" t="s">
        <v>16</v>
      </c>
      <c r="K63" t="s">
        <v>17</v>
      </c>
      <c r="L63">
        <v>35</v>
      </c>
      <c r="M63" t="str">
        <f t="shared" si="0"/>
        <v>Old</v>
      </c>
      <c r="N63" t="s">
        <v>18</v>
      </c>
    </row>
    <row r="64" spans="1:14" x14ac:dyDescent="0.3">
      <c r="A64">
        <v>16713</v>
      </c>
      <c r="B64" t="s">
        <v>36</v>
      </c>
      <c r="C64" t="s">
        <v>40</v>
      </c>
      <c r="D64">
        <v>40000</v>
      </c>
      <c r="E64">
        <v>2</v>
      </c>
      <c r="F64" t="s">
        <v>13</v>
      </c>
      <c r="G64" t="s">
        <v>28</v>
      </c>
      <c r="H64" t="s">
        <v>15</v>
      </c>
      <c r="I64">
        <v>1</v>
      </c>
      <c r="J64" t="s">
        <v>16</v>
      </c>
      <c r="K64" t="s">
        <v>24</v>
      </c>
      <c r="L64">
        <v>52</v>
      </c>
      <c r="M64" t="str">
        <f t="shared" si="0"/>
        <v>Middle Age</v>
      </c>
      <c r="N64" t="s">
        <v>15</v>
      </c>
    </row>
    <row r="65" spans="1:14" x14ac:dyDescent="0.3">
      <c r="A65">
        <v>16185</v>
      </c>
      <c r="B65" t="s">
        <v>38</v>
      </c>
      <c r="C65" t="s">
        <v>40</v>
      </c>
      <c r="D65">
        <v>60000</v>
      </c>
      <c r="E65">
        <v>4</v>
      </c>
      <c r="F65" t="s">
        <v>13</v>
      </c>
      <c r="G65" t="s">
        <v>21</v>
      </c>
      <c r="H65" t="s">
        <v>15</v>
      </c>
      <c r="I65">
        <v>3</v>
      </c>
      <c r="J65" t="s">
        <v>47</v>
      </c>
      <c r="K65" t="s">
        <v>24</v>
      </c>
      <c r="L65">
        <v>41</v>
      </c>
      <c r="M65" t="str">
        <f t="shared" si="0"/>
        <v>Adolescent</v>
      </c>
      <c r="N65" t="s">
        <v>18</v>
      </c>
    </row>
    <row r="66" spans="1:14" x14ac:dyDescent="0.3">
      <c r="A66">
        <v>14927</v>
      </c>
      <c r="B66" t="s">
        <v>36</v>
      </c>
      <c r="C66" t="s">
        <v>39</v>
      </c>
      <c r="D66">
        <v>30000</v>
      </c>
      <c r="E66">
        <v>1</v>
      </c>
      <c r="F66" t="s">
        <v>13</v>
      </c>
      <c r="G66" t="s">
        <v>20</v>
      </c>
      <c r="H66" t="s">
        <v>15</v>
      </c>
      <c r="I66">
        <v>0</v>
      </c>
      <c r="J66" t="s">
        <v>16</v>
      </c>
      <c r="K66" t="s">
        <v>17</v>
      </c>
      <c r="L66">
        <v>37</v>
      </c>
      <c r="M66" t="str">
        <f t="shared" si="0"/>
        <v>Adolescent</v>
      </c>
      <c r="N66" t="s">
        <v>15</v>
      </c>
    </row>
    <row r="67" spans="1:14" x14ac:dyDescent="0.3">
      <c r="A67">
        <v>29337</v>
      </c>
      <c r="B67" t="s">
        <v>38</v>
      </c>
      <c r="C67" t="s">
        <v>40</v>
      </c>
      <c r="D67">
        <v>30000</v>
      </c>
      <c r="E67">
        <v>2</v>
      </c>
      <c r="F67" t="s">
        <v>19</v>
      </c>
      <c r="G67" t="s">
        <v>20</v>
      </c>
      <c r="H67" t="s">
        <v>15</v>
      </c>
      <c r="I67">
        <v>2</v>
      </c>
      <c r="J67" t="s">
        <v>23</v>
      </c>
      <c r="K67" t="s">
        <v>24</v>
      </c>
      <c r="L67">
        <v>68</v>
      </c>
      <c r="M67" t="str">
        <f t="shared" ref="M67:M130" si="1">IF(L80&gt;54, "Old", IF(L80&gt;=31, "Middle Age", IF(L80&lt;31, "Adolescent", "Invalid")))</f>
        <v>Middle Age</v>
      </c>
      <c r="N67" t="s">
        <v>18</v>
      </c>
    </row>
    <row r="68" spans="1:14" x14ac:dyDescent="0.3">
      <c r="A68">
        <v>29355</v>
      </c>
      <c r="B68" t="s">
        <v>36</v>
      </c>
      <c r="C68" t="s">
        <v>39</v>
      </c>
      <c r="D68">
        <v>40000</v>
      </c>
      <c r="E68">
        <v>0</v>
      </c>
      <c r="F68" t="s">
        <v>31</v>
      </c>
      <c r="G68" t="s">
        <v>20</v>
      </c>
      <c r="H68" t="s">
        <v>15</v>
      </c>
      <c r="I68">
        <v>0</v>
      </c>
      <c r="J68" t="s">
        <v>16</v>
      </c>
      <c r="K68" t="s">
        <v>17</v>
      </c>
      <c r="L68">
        <v>37</v>
      </c>
      <c r="M68" t="str">
        <f t="shared" si="1"/>
        <v>Old</v>
      </c>
      <c r="N68" t="s">
        <v>15</v>
      </c>
    </row>
    <row r="69" spans="1:14" x14ac:dyDescent="0.3">
      <c r="A69">
        <v>25303</v>
      </c>
      <c r="B69" t="s">
        <v>38</v>
      </c>
      <c r="C69" t="s">
        <v>40</v>
      </c>
      <c r="D69">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v>10000</v>
      </c>
      <c r="E71">
        <v>0</v>
      </c>
      <c r="F71" t="s">
        <v>29</v>
      </c>
      <c r="G71" t="s">
        <v>25</v>
      </c>
      <c r="H71" t="s">
        <v>18</v>
      </c>
      <c r="I71">
        <v>2</v>
      </c>
      <c r="J71" t="s">
        <v>16</v>
      </c>
      <c r="K71" t="s">
        <v>17</v>
      </c>
      <c r="L71">
        <v>30</v>
      </c>
      <c r="M71" t="str">
        <f t="shared" si="1"/>
        <v>Middle Age</v>
      </c>
      <c r="N71" t="s">
        <v>18</v>
      </c>
    </row>
    <row r="72" spans="1:14" x14ac:dyDescent="0.3">
      <c r="A72">
        <v>14238</v>
      </c>
      <c r="B72" t="s">
        <v>36</v>
      </c>
      <c r="C72" t="s">
        <v>40</v>
      </c>
      <c r="D72">
        <v>120000</v>
      </c>
      <c r="E72">
        <v>0</v>
      </c>
      <c r="F72" t="s">
        <v>29</v>
      </c>
      <c r="G72" t="s">
        <v>21</v>
      </c>
      <c r="H72" t="s">
        <v>15</v>
      </c>
      <c r="I72">
        <v>4</v>
      </c>
      <c r="J72" t="s">
        <v>47</v>
      </c>
      <c r="K72" t="s">
        <v>24</v>
      </c>
      <c r="L72">
        <v>36</v>
      </c>
      <c r="M72" t="str">
        <f t="shared" si="1"/>
        <v>Adolescent</v>
      </c>
      <c r="N72" t="s">
        <v>15</v>
      </c>
    </row>
    <row r="73" spans="1:14" x14ac:dyDescent="0.3">
      <c r="A73">
        <v>16200</v>
      </c>
      <c r="B73" t="s">
        <v>38</v>
      </c>
      <c r="C73" t="s">
        <v>39</v>
      </c>
      <c r="D7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v>130000</v>
      </c>
      <c r="E74">
        <v>3</v>
      </c>
      <c r="F74" t="s">
        <v>27</v>
      </c>
      <c r="G74" t="s">
        <v>21</v>
      </c>
      <c r="H74" t="s">
        <v>15</v>
      </c>
      <c r="I74">
        <v>4</v>
      </c>
      <c r="J74" t="s">
        <v>16</v>
      </c>
      <c r="K74" t="s">
        <v>17</v>
      </c>
      <c r="L74">
        <v>52</v>
      </c>
      <c r="M74" t="str">
        <f t="shared" si="1"/>
        <v>Adolescent</v>
      </c>
      <c r="N74" t="s">
        <v>18</v>
      </c>
    </row>
    <row r="75" spans="1:14" x14ac:dyDescent="0.3">
      <c r="A75">
        <v>26956</v>
      </c>
      <c r="B75" t="s">
        <v>38</v>
      </c>
      <c r="C75" t="s">
        <v>39</v>
      </c>
      <c r="D7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v>20000</v>
      </c>
      <c r="E76">
        <v>3</v>
      </c>
      <c r="F76" t="s">
        <v>27</v>
      </c>
      <c r="G76" t="s">
        <v>14</v>
      </c>
      <c r="H76" t="s">
        <v>18</v>
      </c>
      <c r="I76">
        <v>2</v>
      </c>
      <c r="J76" t="s">
        <v>26</v>
      </c>
      <c r="K76" t="s">
        <v>24</v>
      </c>
      <c r="L76">
        <v>62</v>
      </c>
      <c r="M76" t="str">
        <f t="shared" si="1"/>
        <v>Middle Age</v>
      </c>
      <c r="N76" t="s">
        <v>18</v>
      </c>
    </row>
    <row r="77" spans="1:14" x14ac:dyDescent="0.3">
      <c r="A77">
        <v>12678</v>
      </c>
      <c r="B77" t="s">
        <v>38</v>
      </c>
      <c r="C77" t="s">
        <v>39</v>
      </c>
      <c r="D77">
        <v>130000</v>
      </c>
      <c r="E77">
        <v>4</v>
      </c>
      <c r="F77" t="s">
        <v>27</v>
      </c>
      <c r="G77" t="s">
        <v>28</v>
      </c>
      <c r="H77" t="s">
        <v>15</v>
      </c>
      <c r="I77">
        <v>4</v>
      </c>
      <c r="J77" t="s">
        <v>16</v>
      </c>
      <c r="K77" t="s">
        <v>24</v>
      </c>
      <c r="L77">
        <v>31</v>
      </c>
      <c r="M77" t="str">
        <f t="shared" si="1"/>
        <v>Adolescent</v>
      </c>
      <c r="N77" t="s">
        <v>18</v>
      </c>
    </row>
    <row r="78" spans="1:14" x14ac:dyDescent="0.3">
      <c r="A78">
        <v>16188</v>
      </c>
      <c r="B78" t="s">
        <v>38</v>
      </c>
      <c r="C78" t="s">
        <v>39</v>
      </c>
      <c r="D78">
        <v>20000</v>
      </c>
      <c r="E78">
        <v>0</v>
      </c>
      <c r="F78" t="s">
        <v>29</v>
      </c>
      <c r="G78" t="s">
        <v>25</v>
      </c>
      <c r="H78" t="s">
        <v>18</v>
      </c>
      <c r="I78">
        <v>2</v>
      </c>
      <c r="J78" t="s">
        <v>26</v>
      </c>
      <c r="K78" t="s">
        <v>17</v>
      </c>
      <c r="L78">
        <v>26</v>
      </c>
      <c r="M78" t="str">
        <f t="shared" si="1"/>
        <v>Middle Age</v>
      </c>
      <c r="N78" t="s">
        <v>18</v>
      </c>
    </row>
    <row r="79" spans="1:14" x14ac:dyDescent="0.3">
      <c r="A79">
        <v>27969</v>
      </c>
      <c r="B79" t="s">
        <v>36</v>
      </c>
      <c r="C79" t="s">
        <v>40</v>
      </c>
      <c r="D79">
        <v>80000</v>
      </c>
      <c r="E79">
        <v>0</v>
      </c>
      <c r="F79" t="s">
        <v>13</v>
      </c>
      <c r="G79" t="s">
        <v>21</v>
      </c>
      <c r="H79" t="s">
        <v>15</v>
      </c>
      <c r="I79">
        <v>2</v>
      </c>
      <c r="J79" t="s">
        <v>47</v>
      </c>
      <c r="K79" t="s">
        <v>24</v>
      </c>
      <c r="L79">
        <v>29</v>
      </c>
      <c r="M79" t="str">
        <f t="shared" si="1"/>
        <v>Adolescent</v>
      </c>
      <c r="N79" t="s">
        <v>15</v>
      </c>
    </row>
    <row r="80" spans="1:14" x14ac:dyDescent="0.3">
      <c r="A80">
        <v>15752</v>
      </c>
      <c r="B80" t="s">
        <v>36</v>
      </c>
      <c r="C80" t="s">
        <v>40</v>
      </c>
      <c r="D80">
        <v>80000</v>
      </c>
      <c r="E80">
        <v>2</v>
      </c>
      <c r="F80" t="s">
        <v>27</v>
      </c>
      <c r="G80" t="s">
        <v>14</v>
      </c>
      <c r="H80" t="s">
        <v>18</v>
      </c>
      <c r="I80">
        <v>2</v>
      </c>
      <c r="J80" t="s">
        <v>26</v>
      </c>
      <c r="K80" t="s">
        <v>24</v>
      </c>
      <c r="L80">
        <v>50</v>
      </c>
      <c r="M80" t="str">
        <f t="shared" si="1"/>
        <v>Adolescent</v>
      </c>
      <c r="N80" t="s">
        <v>15</v>
      </c>
    </row>
    <row r="81" spans="1:14" x14ac:dyDescent="0.3">
      <c r="A81">
        <v>27745</v>
      </c>
      <c r="B81" t="s">
        <v>38</v>
      </c>
      <c r="C81" t="s">
        <v>40</v>
      </c>
      <c r="D81">
        <v>40000</v>
      </c>
      <c r="E81">
        <v>2</v>
      </c>
      <c r="F81" t="s">
        <v>13</v>
      </c>
      <c r="G81" t="s">
        <v>28</v>
      </c>
      <c r="H81" t="s">
        <v>15</v>
      </c>
      <c r="I81">
        <v>2</v>
      </c>
      <c r="J81" t="s">
        <v>23</v>
      </c>
      <c r="K81" t="s">
        <v>24</v>
      </c>
      <c r="L81">
        <v>63</v>
      </c>
      <c r="M81" t="str">
        <f t="shared" si="1"/>
        <v>Middle Age</v>
      </c>
      <c r="N81" t="s">
        <v>15</v>
      </c>
    </row>
    <row r="82" spans="1:14" x14ac:dyDescent="0.3">
      <c r="A82">
        <v>20828</v>
      </c>
      <c r="B82" t="s">
        <v>36</v>
      </c>
      <c r="C82" t="s">
        <v>39</v>
      </c>
      <c r="D82">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v>10000</v>
      </c>
      <c r="E83">
        <v>4</v>
      </c>
      <c r="F83" t="s">
        <v>29</v>
      </c>
      <c r="G83" t="s">
        <v>25</v>
      </c>
      <c r="H83" t="s">
        <v>15</v>
      </c>
      <c r="I83">
        <v>2</v>
      </c>
      <c r="J83" t="s">
        <v>16</v>
      </c>
      <c r="K83" t="s">
        <v>17</v>
      </c>
      <c r="L83">
        <v>40</v>
      </c>
      <c r="M83" t="str">
        <f t="shared" si="1"/>
        <v>Old</v>
      </c>
      <c r="N83" t="s">
        <v>18</v>
      </c>
    </row>
    <row r="84" spans="1:14" x14ac:dyDescent="0.3">
      <c r="A84">
        <v>26941</v>
      </c>
      <c r="B84" t="s">
        <v>36</v>
      </c>
      <c r="C84" t="s">
        <v>40</v>
      </c>
      <c r="D84">
        <v>30000</v>
      </c>
      <c r="E84">
        <v>0</v>
      </c>
      <c r="F84" t="s">
        <v>13</v>
      </c>
      <c r="G84" t="s">
        <v>20</v>
      </c>
      <c r="H84" t="s">
        <v>15</v>
      </c>
      <c r="I84">
        <v>0</v>
      </c>
      <c r="J84" t="s">
        <v>16</v>
      </c>
      <c r="K84" t="s">
        <v>17</v>
      </c>
      <c r="L84">
        <v>47</v>
      </c>
      <c r="M84" t="str">
        <f t="shared" si="1"/>
        <v>Old</v>
      </c>
      <c r="N84" t="s">
        <v>15</v>
      </c>
    </row>
    <row r="85" spans="1:14" x14ac:dyDescent="0.3">
      <c r="A85">
        <v>28412</v>
      </c>
      <c r="B85" t="s">
        <v>38</v>
      </c>
      <c r="C85" t="s">
        <v>40</v>
      </c>
      <c r="D85">
        <v>20000</v>
      </c>
      <c r="E85">
        <v>0</v>
      </c>
      <c r="F85" t="s">
        <v>27</v>
      </c>
      <c r="G85" t="s">
        <v>25</v>
      </c>
      <c r="H85" t="s">
        <v>18</v>
      </c>
      <c r="I85">
        <v>1</v>
      </c>
      <c r="J85" t="s">
        <v>22</v>
      </c>
      <c r="K85" t="s">
        <v>17</v>
      </c>
      <c r="L85">
        <v>29</v>
      </c>
      <c r="M85" t="str">
        <f t="shared" si="1"/>
        <v>Middle Age</v>
      </c>
      <c r="N85" t="s">
        <v>18</v>
      </c>
    </row>
    <row r="86" spans="1:14" x14ac:dyDescent="0.3">
      <c r="A86">
        <v>24485</v>
      </c>
      <c r="B86" t="s">
        <v>38</v>
      </c>
      <c r="C86" t="s">
        <v>40</v>
      </c>
      <c r="D86">
        <v>40000</v>
      </c>
      <c r="E86">
        <v>2</v>
      </c>
      <c r="F86" t="s">
        <v>13</v>
      </c>
      <c r="G86" t="s">
        <v>28</v>
      </c>
      <c r="H86" t="s">
        <v>18</v>
      </c>
      <c r="I86">
        <v>1</v>
      </c>
      <c r="J86" t="s">
        <v>23</v>
      </c>
      <c r="K86" t="s">
        <v>24</v>
      </c>
      <c r="L86">
        <v>52</v>
      </c>
      <c r="M86" t="str">
        <f t="shared" si="1"/>
        <v>Middle Age</v>
      </c>
      <c r="N86" t="s">
        <v>15</v>
      </c>
    </row>
    <row r="87" spans="1:14" x14ac:dyDescent="0.3">
      <c r="A87">
        <v>16514</v>
      </c>
      <c r="B87" t="s">
        <v>38</v>
      </c>
      <c r="C87" t="s">
        <v>40</v>
      </c>
      <c r="D87">
        <v>10000</v>
      </c>
      <c r="E87">
        <v>0</v>
      </c>
      <c r="F87" t="s">
        <v>19</v>
      </c>
      <c r="G87" t="s">
        <v>25</v>
      </c>
      <c r="H87" t="s">
        <v>15</v>
      </c>
      <c r="I87">
        <v>1</v>
      </c>
      <c r="J87" t="s">
        <v>26</v>
      </c>
      <c r="K87" t="s">
        <v>24</v>
      </c>
      <c r="L87">
        <v>26</v>
      </c>
      <c r="M87" t="str">
        <f t="shared" si="1"/>
        <v>Adolescent</v>
      </c>
      <c r="N87" t="s">
        <v>15</v>
      </c>
    </row>
    <row r="88" spans="1:14" x14ac:dyDescent="0.3">
      <c r="A88">
        <v>17191</v>
      </c>
      <c r="B88" t="s">
        <v>38</v>
      </c>
      <c r="C88" t="s">
        <v>40</v>
      </c>
      <c r="D88">
        <v>130000</v>
      </c>
      <c r="E88">
        <v>3</v>
      </c>
      <c r="F88" t="s">
        <v>19</v>
      </c>
      <c r="G88" t="s">
        <v>21</v>
      </c>
      <c r="H88" t="s">
        <v>18</v>
      </c>
      <c r="I88">
        <v>3</v>
      </c>
      <c r="J88" t="s">
        <v>16</v>
      </c>
      <c r="K88" t="s">
        <v>17</v>
      </c>
      <c r="L88">
        <v>51</v>
      </c>
      <c r="M88" t="str">
        <f t="shared" si="1"/>
        <v>Middle Age</v>
      </c>
      <c r="N88" t="s">
        <v>15</v>
      </c>
    </row>
    <row r="89" spans="1:14" x14ac:dyDescent="0.3">
      <c r="A89">
        <v>19608</v>
      </c>
      <c r="B89" t="s">
        <v>36</v>
      </c>
      <c r="C89" t="s">
        <v>40</v>
      </c>
      <c r="D89">
        <v>80000</v>
      </c>
      <c r="E89">
        <v>5</v>
      </c>
      <c r="F89" t="s">
        <v>13</v>
      </c>
      <c r="G89" t="s">
        <v>21</v>
      </c>
      <c r="H89" t="s">
        <v>15</v>
      </c>
      <c r="I89">
        <v>4</v>
      </c>
      <c r="J89" t="s">
        <v>26</v>
      </c>
      <c r="K89" t="s">
        <v>24</v>
      </c>
      <c r="L89">
        <v>40</v>
      </c>
      <c r="M89" t="str">
        <f t="shared" si="1"/>
        <v>Middle Age</v>
      </c>
      <c r="N89" t="s">
        <v>18</v>
      </c>
    </row>
    <row r="90" spans="1:14" x14ac:dyDescent="0.3">
      <c r="A90">
        <v>24119</v>
      </c>
      <c r="B90" t="s">
        <v>38</v>
      </c>
      <c r="C90" t="s">
        <v>40</v>
      </c>
      <c r="D90">
        <v>30000</v>
      </c>
      <c r="E90">
        <v>0</v>
      </c>
      <c r="F90" t="s">
        <v>19</v>
      </c>
      <c r="G90" t="s">
        <v>20</v>
      </c>
      <c r="H90" t="s">
        <v>18</v>
      </c>
      <c r="I90">
        <v>1</v>
      </c>
      <c r="J90" t="s">
        <v>22</v>
      </c>
      <c r="K90" t="s">
        <v>17</v>
      </c>
      <c r="L90">
        <v>29</v>
      </c>
      <c r="M90" t="str">
        <f t="shared" si="1"/>
        <v>Middle Age</v>
      </c>
      <c r="N90" t="s">
        <v>18</v>
      </c>
    </row>
    <row r="91" spans="1:14" x14ac:dyDescent="0.3">
      <c r="A91">
        <v>25458</v>
      </c>
      <c r="B91" t="s">
        <v>36</v>
      </c>
      <c r="C91" t="s">
        <v>40</v>
      </c>
      <c r="D91">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v>30000</v>
      </c>
      <c r="E92">
        <v>0</v>
      </c>
      <c r="F92" t="s">
        <v>19</v>
      </c>
      <c r="G92" t="s">
        <v>20</v>
      </c>
      <c r="H92" t="s">
        <v>18</v>
      </c>
      <c r="I92">
        <v>1</v>
      </c>
      <c r="J92" t="s">
        <v>16</v>
      </c>
      <c r="K92" t="s">
        <v>17</v>
      </c>
      <c r="L92">
        <v>29</v>
      </c>
      <c r="M92" t="str">
        <f t="shared" si="1"/>
        <v>Middle Age</v>
      </c>
      <c r="N92" t="s">
        <v>15</v>
      </c>
    </row>
    <row r="93" spans="1:14" x14ac:dyDescent="0.3">
      <c r="A93">
        <v>28436</v>
      </c>
      <c r="B93" t="s">
        <v>38</v>
      </c>
      <c r="C93" t="s">
        <v>40</v>
      </c>
      <c r="D93">
        <v>30000</v>
      </c>
      <c r="E93">
        <v>0</v>
      </c>
      <c r="F93" t="s">
        <v>19</v>
      </c>
      <c r="G93" t="s">
        <v>20</v>
      </c>
      <c r="H93" t="s">
        <v>18</v>
      </c>
      <c r="I93">
        <v>1</v>
      </c>
      <c r="J93" t="s">
        <v>16</v>
      </c>
      <c r="K93" t="s">
        <v>17</v>
      </c>
      <c r="L93">
        <v>30</v>
      </c>
      <c r="M93" t="str">
        <f t="shared" si="1"/>
        <v>Middle Age</v>
      </c>
      <c r="N93" t="s">
        <v>15</v>
      </c>
    </row>
    <row r="94" spans="1:14" x14ac:dyDescent="0.3">
      <c r="A94">
        <v>19562</v>
      </c>
      <c r="B94" t="s">
        <v>38</v>
      </c>
      <c r="C94" t="s">
        <v>39</v>
      </c>
      <c r="D94">
        <v>60000</v>
      </c>
      <c r="E94">
        <v>2</v>
      </c>
      <c r="F94" t="s">
        <v>13</v>
      </c>
      <c r="G94" t="s">
        <v>21</v>
      </c>
      <c r="H94" t="s">
        <v>15</v>
      </c>
      <c r="I94">
        <v>1</v>
      </c>
      <c r="J94" t="s">
        <v>22</v>
      </c>
      <c r="K94" t="s">
        <v>24</v>
      </c>
      <c r="L94">
        <v>37</v>
      </c>
      <c r="M94" t="str">
        <f t="shared" si="1"/>
        <v>Adolescent</v>
      </c>
      <c r="N94" t="s">
        <v>15</v>
      </c>
    </row>
    <row r="95" spans="1:14" x14ac:dyDescent="0.3">
      <c r="A95">
        <v>15608</v>
      </c>
      <c r="B95" t="s">
        <v>38</v>
      </c>
      <c r="C95" t="s">
        <v>39</v>
      </c>
      <c r="D95">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v>30000</v>
      </c>
      <c r="E96">
        <v>3</v>
      </c>
      <c r="F96" t="s">
        <v>27</v>
      </c>
      <c r="G96" t="s">
        <v>14</v>
      </c>
      <c r="H96" t="s">
        <v>15</v>
      </c>
      <c r="I96">
        <v>2</v>
      </c>
      <c r="J96" t="s">
        <v>23</v>
      </c>
      <c r="K96" t="s">
        <v>24</v>
      </c>
      <c r="L96">
        <v>55</v>
      </c>
      <c r="M96" t="str">
        <f t="shared" si="1"/>
        <v>Middle Age</v>
      </c>
      <c r="N96" t="s">
        <v>18</v>
      </c>
    </row>
    <row r="97" spans="1:14" x14ac:dyDescent="0.3">
      <c r="A97">
        <v>17197</v>
      </c>
      <c r="B97" t="s">
        <v>38</v>
      </c>
      <c r="C97" t="s">
        <v>39</v>
      </c>
      <c r="D97">
        <v>90000</v>
      </c>
      <c r="E97">
        <v>5</v>
      </c>
      <c r="F97" t="s">
        <v>19</v>
      </c>
      <c r="G97" t="s">
        <v>21</v>
      </c>
      <c r="H97" t="s">
        <v>15</v>
      </c>
      <c r="I97">
        <v>2</v>
      </c>
      <c r="J97" t="s">
        <v>47</v>
      </c>
      <c r="K97" t="s">
        <v>17</v>
      </c>
      <c r="L97">
        <v>62</v>
      </c>
      <c r="M97" t="str">
        <f t="shared" si="1"/>
        <v>Middle Age</v>
      </c>
      <c r="N97" t="s">
        <v>18</v>
      </c>
    </row>
    <row r="98" spans="1:14" x14ac:dyDescent="0.3">
      <c r="A98">
        <v>12507</v>
      </c>
      <c r="B98" t="s">
        <v>36</v>
      </c>
      <c r="C98" t="s">
        <v>40</v>
      </c>
      <c r="D98">
        <v>30000</v>
      </c>
      <c r="E98">
        <v>1</v>
      </c>
      <c r="F98" t="s">
        <v>19</v>
      </c>
      <c r="G98" t="s">
        <v>20</v>
      </c>
      <c r="H98" t="s">
        <v>15</v>
      </c>
      <c r="I98">
        <v>1</v>
      </c>
      <c r="J98" t="s">
        <v>16</v>
      </c>
      <c r="K98" t="s">
        <v>17</v>
      </c>
      <c r="L98">
        <v>43</v>
      </c>
      <c r="M98" t="str">
        <f t="shared" si="1"/>
        <v>Middle Age</v>
      </c>
      <c r="N98" t="s">
        <v>18</v>
      </c>
    </row>
    <row r="99" spans="1:14" x14ac:dyDescent="0.3">
      <c r="A99">
        <v>23940</v>
      </c>
      <c r="B99" t="s">
        <v>36</v>
      </c>
      <c r="C99" t="s">
        <v>40</v>
      </c>
      <c r="D99">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40</v>
      </c>
      <c r="D100">
        <v>40000</v>
      </c>
      <c r="E100">
        <v>0</v>
      </c>
      <c r="F100" t="s">
        <v>31</v>
      </c>
      <c r="G100" t="s">
        <v>20</v>
      </c>
      <c r="H100" t="s">
        <v>15</v>
      </c>
      <c r="I100">
        <v>0</v>
      </c>
      <c r="J100" t="s">
        <v>16</v>
      </c>
      <c r="K100" t="s">
        <v>17</v>
      </c>
      <c r="L100">
        <v>25</v>
      </c>
      <c r="M100" t="str">
        <f t="shared" si="1"/>
        <v>Middle Age</v>
      </c>
      <c r="N100" t="s">
        <v>15</v>
      </c>
    </row>
    <row r="101" spans="1:14" x14ac:dyDescent="0.3">
      <c r="A101">
        <v>26852</v>
      </c>
      <c r="B101" t="s">
        <v>36</v>
      </c>
      <c r="C101" t="s">
        <v>39</v>
      </c>
      <c r="D101">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40</v>
      </c>
      <c r="D102">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40</v>
      </c>
      <c r="D103">
        <v>60000</v>
      </c>
      <c r="E103">
        <v>3</v>
      </c>
      <c r="F103" t="s">
        <v>13</v>
      </c>
      <c r="G103" t="s">
        <v>21</v>
      </c>
      <c r="H103" t="s">
        <v>18</v>
      </c>
      <c r="I103">
        <v>2</v>
      </c>
      <c r="J103" t="s">
        <v>16</v>
      </c>
      <c r="K103" t="s">
        <v>24</v>
      </c>
      <c r="L103">
        <v>43</v>
      </c>
      <c r="M103" t="str">
        <f t="shared" si="1"/>
        <v>Adolescent</v>
      </c>
      <c r="N103" t="s">
        <v>15</v>
      </c>
    </row>
    <row r="104" spans="1:14" x14ac:dyDescent="0.3">
      <c r="A104">
        <v>24149</v>
      </c>
      <c r="B104" t="s">
        <v>36</v>
      </c>
      <c r="C104" t="s">
        <v>40</v>
      </c>
      <c r="D104">
        <v>10000</v>
      </c>
      <c r="E104">
        <v>2</v>
      </c>
      <c r="F104" t="s">
        <v>19</v>
      </c>
      <c r="G104" t="s">
        <v>25</v>
      </c>
      <c r="H104" t="s">
        <v>15</v>
      </c>
      <c r="I104">
        <v>0</v>
      </c>
      <c r="J104" t="s">
        <v>26</v>
      </c>
      <c r="K104" t="s">
        <v>17</v>
      </c>
      <c r="L104">
        <v>49</v>
      </c>
      <c r="M104" t="str">
        <f t="shared" si="1"/>
        <v>Adolescent</v>
      </c>
      <c r="N104" t="s">
        <v>18</v>
      </c>
    </row>
    <row r="105" spans="1:14" x14ac:dyDescent="0.3">
      <c r="A105">
        <v>26139</v>
      </c>
      <c r="B105" t="s">
        <v>38</v>
      </c>
      <c r="C105" t="s">
        <v>40</v>
      </c>
      <c r="D105">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v>30000</v>
      </c>
      <c r="E107">
        <v>0</v>
      </c>
      <c r="F107" t="s">
        <v>19</v>
      </c>
      <c r="G107" t="s">
        <v>20</v>
      </c>
      <c r="H107" t="s">
        <v>18</v>
      </c>
      <c r="I107">
        <v>1</v>
      </c>
      <c r="J107" t="s">
        <v>22</v>
      </c>
      <c r="K107" t="s">
        <v>17</v>
      </c>
      <c r="L107">
        <v>30</v>
      </c>
      <c r="M107" t="str">
        <f t="shared" si="1"/>
        <v>Old</v>
      </c>
      <c r="N107" t="s">
        <v>18</v>
      </c>
    </row>
    <row r="108" spans="1:14" x14ac:dyDescent="0.3">
      <c r="A108">
        <v>20430</v>
      </c>
      <c r="B108" t="s">
        <v>36</v>
      </c>
      <c r="C108" t="s">
        <v>40</v>
      </c>
      <c r="D108">
        <v>70000</v>
      </c>
      <c r="E108">
        <v>2</v>
      </c>
      <c r="F108" t="s">
        <v>19</v>
      </c>
      <c r="G108" t="s">
        <v>14</v>
      </c>
      <c r="H108" t="s">
        <v>15</v>
      </c>
      <c r="I108">
        <v>2</v>
      </c>
      <c r="J108" t="s">
        <v>23</v>
      </c>
      <c r="K108" t="s">
        <v>24</v>
      </c>
      <c r="L108">
        <v>52</v>
      </c>
      <c r="M108" t="str">
        <f t="shared" si="1"/>
        <v>Adolescent</v>
      </c>
      <c r="N108" t="s">
        <v>15</v>
      </c>
    </row>
    <row r="109" spans="1:14" x14ac:dyDescent="0.3">
      <c r="A109">
        <v>27494</v>
      </c>
      <c r="B109" t="s">
        <v>38</v>
      </c>
      <c r="C109" t="s">
        <v>39</v>
      </c>
      <c r="D109">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39</v>
      </c>
      <c r="D110">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40</v>
      </c>
      <c r="D111">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v>30000</v>
      </c>
      <c r="E112">
        <v>1</v>
      </c>
      <c r="F112" t="s">
        <v>19</v>
      </c>
      <c r="G112" t="s">
        <v>25</v>
      </c>
      <c r="H112" t="s">
        <v>18</v>
      </c>
      <c r="I112">
        <v>0</v>
      </c>
      <c r="J112" t="s">
        <v>16</v>
      </c>
      <c r="K112" t="s">
        <v>17</v>
      </c>
      <c r="L112">
        <v>46</v>
      </c>
      <c r="M112" t="str">
        <f t="shared" si="1"/>
        <v>Old</v>
      </c>
      <c r="N112" t="s">
        <v>15</v>
      </c>
    </row>
    <row r="113" spans="1:14" x14ac:dyDescent="0.3">
      <c r="A113">
        <v>14682</v>
      </c>
      <c r="B113" t="s">
        <v>38</v>
      </c>
      <c r="C113" t="s">
        <v>39</v>
      </c>
      <c r="D11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40</v>
      </c>
      <c r="D116">
        <v>20000</v>
      </c>
      <c r="E116">
        <v>0</v>
      </c>
      <c r="F116" t="s">
        <v>13</v>
      </c>
      <c r="G116" t="s">
        <v>20</v>
      </c>
      <c r="H116" t="s">
        <v>15</v>
      </c>
      <c r="I116">
        <v>0</v>
      </c>
      <c r="J116" t="s">
        <v>16</v>
      </c>
      <c r="K116" t="s">
        <v>24</v>
      </c>
      <c r="L116">
        <v>26</v>
      </c>
      <c r="M116" t="str">
        <f t="shared" si="1"/>
        <v>Middle Age</v>
      </c>
      <c r="N116" t="s">
        <v>15</v>
      </c>
    </row>
    <row r="117" spans="1:14" x14ac:dyDescent="0.3">
      <c r="A117">
        <v>24140</v>
      </c>
      <c r="B117" t="s">
        <v>38</v>
      </c>
      <c r="C117" t="s">
        <v>40</v>
      </c>
      <c r="D117">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39</v>
      </c>
      <c r="D118">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40</v>
      </c>
      <c r="D120">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v>30000</v>
      </c>
      <c r="E121">
        <v>0</v>
      </c>
      <c r="F121" t="s">
        <v>19</v>
      </c>
      <c r="G121" t="s">
        <v>20</v>
      </c>
      <c r="H121" t="s">
        <v>18</v>
      </c>
      <c r="I121">
        <v>1</v>
      </c>
      <c r="J121" t="s">
        <v>22</v>
      </c>
      <c r="K121" t="s">
        <v>17</v>
      </c>
      <c r="L121">
        <v>29</v>
      </c>
      <c r="M121" t="str">
        <f t="shared" si="1"/>
        <v>Middle Age</v>
      </c>
      <c r="N121" t="s">
        <v>18</v>
      </c>
    </row>
    <row r="122" spans="1:14" x14ac:dyDescent="0.3">
      <c r="A122">
        <v>22988</v>
      </c>
      <c r="B122" t="s">
        <v>36</v>
      </c>
      <c r="C122" t="s">
        <v>39</v>
      </c>
      <c r="D122">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40</v>
      </c>
      <c r="D12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39</v>
      </c>
      <c r="D125">
        <v>100000</v>
      </c>
      <c r="E125">
        <v>3</v>
      </c>
      <c r="F125" t="s">
        <v>19</v>
      </c>
      <c r="G125" t="s">
        <v>28</v>
      </c>
      <c r="H125" t="s">
        <v>18</v>
      </c>
      <c r="I125">
        <v>4</v>
      </c>
      <c r="J125" t="s">
        <v>23</v>
      </c>
      <c r="K125" t="s">
        <v>17</v>
      </c>
      <c r="L125">
        <v>56</v>
      </c>
      <c r="M125" t="str">
        <f t="shared" si="1"/>
        <v>Middle Age</v>
      </c>
      <c r="N125" t="s">
        <v>18</v>
      </c>
    </row>
    <row r="126" spans="1:14" x14ac:dyDescent="0.3">
      <c r="A126">
        <v>27775</v>
      </c>
      <c r="B126" t="s">
        <v>38</v>
      </c>
      <c r="C126" t="s">
        <v>39</v>
      </c>
      <c r="D126">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40</v>
      </c>
      <c r="D127">
        <v>80000</v>
      </c>
      <c r="E127">
        <v>5</v>
      </c>
      <c r="F127" t="s">
        <v>13</v>
      </c>
      <c r="G127" t="s">
        <v>21</v>
      </c>
      <c r="H127" t="s">
        <v>15</v>
      </c>
      <c r="I127">
        <v>4</v>
      </c>
      <c r="J127" t="s">
        <v>26</v>
      </c>
      <c r="K127" t="s">
        <v>24</v>
      </c>
      <c r="L127">
        <v>40</v>
      </c>
      <c r="M127" t="str">
        <f t="shared" si="1"/>
        <v>Old</v>
      </c>
      <c r="N127" t="s">
        <v>18</v>
      </c>
    </row>
    <row r="128" spans="1:14" x14ac:dyDescent="0.3">
      <c r="A128">
        <v>12716</v>
      </c>
      <c r="B128" t="s">
        <v>38</v>
      </c>
      <c r="C128" t="s">
        <v>40</v>
      </c>
      <c r="D128">
        <v>30000</v>
      </c>
      <c r="E128">
        <v>0</v>
      </c>
      <c r="F128" t="s">
        <v>19</v>
      </c>
      <c r="G128" t="s">
        <v>20</v>
      </c>
      <c r="H128" t="s">
        <v>15</v>
      </c>
      <c r="I128">
        <v>1</v>
      </c>
      <c r="J128" t="s">
        <v>22</v>
      </c>
      <c r="K128" t="s">
        <v>17</v>
      </c>
      <c r="L128">
        <v>32</v>
      </c>
      <c r="M128" t="str">
        <f t="shared" si="1"/>
        <v>Old</v>
      </c>
      <c r="N128" t="s">
        <v>18</v>
      </c>
    </row>
    <row r="129" spans="1:14" x14ac:dyDescent="0.3">
      <c r="A129">
        <v>12472</v>
      </c>
      <c r="B129" t="s">
        <v>36</v>
      </c>
      <c r="C129" t="s">
        <v>40</v>
      </c>
      <c r="D129">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40</v>
      </c>
      <c r="D130">
        <v>10000</v>
      </c>
      <c r="E130">
        <v>2</v>
      </c>
      <c r="F130" t="s">
        <v>19</v>
      </c>
      <c r="G130" t="s">
        <v>25</v>
      </c>
      <c r="H130" t="s">
        <v>15</v>
      </c>
      <c r="I130">
        <v>1</v>
      </c>
      <c r="J130" t="s">
        <v>16</v>
      </c>
      <c r="K130" t="s">
        <v>17</v>
      </c>
      <c r="L130">
        <v>52</v>
      </c>
      <c r="M130" t="str">
        <f t="shared" si="1"/>
        <v>Adolescent</v>
      </c>
      <c r="N130" t="s">
        <v>15</v>
      </c>
    </row>
    <row r="131" spans="1:14" x14ac:dyDescent="0.3">
      <c r="A131">
        <v>26818</v>
      </c>
      <c r="B131" t="s">
        <v>38</v>
      </c>
      <c r="C131" t="s">
        <v>40</v>
      </c>
      <c r="D131">
        <v>10000</v>
      </c>
      <c r="E131">
        <v>3</v>
      </c>
      <c r="F131" t="s">
        <v>27</v>
      </c>
      <c r="G131" t="s">
        <v>25</v>
      </c>
      <c r="H131" t="s">
        <v>15</v>
      </c>
      <c r="I131">
        <v>1</v>
      </c>
      <c r="J131" t="s">
        <v>16</v>
      </c>
      <c r="K131" t="s">
        <v>17</v>
      </c>
      <c r="L131">
        <v>39</v>
      </c>
      <c r="M131" t="str">
        <f t="shared" ref="M131:M194" si="2">IF(L144&gt;54, "Old", IF(L144&gt;=31, "Middle Age", IF(L144&lt;31, "Adolescent", "Invalid")))</f>
        <v>Middle Age</v>
      </c>
      <c r="N131" t="s">
        <v>15</v>
      </c>
    </row>
    <row r="132" spans="1:14" x14ac:dyDescent="0.3">
      <c r="A132">
        <v>12993</v>
      </c>
      <c r="B132" t="s">
        <v>36</v>
      </c>
      <c r="C132" t="s">
        <v>40</v>
      </c>
      <c r="D132">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40</v>
      </c>
      <c r="D13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40</v>
      </c>
      <c r="D134">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40</v>
      </c>
      <c r="D135">
        <v>40000</v>
      </c>
      <c r="E135">
        <v>2</v>
      </c>
      <c r="F135" t="s">
        <v>13</v>
      </c>
      <c r="G135" t="s">
        <v>28</v>
      </c>
      <c r="H135" t="s">
        <v>15</v>
      </c>
      <c r="I135">
        <v>2</v>
      </c>
      <c r="J135" t="s">
        <v>23</v>
      </c>
      <c r="K135" t="s">
        <v>24</v>
      </c>
      <c r="L135">
        <v>65</v>
      </c>
      <c r="M135" t="str">
        <f t="shared" si="2"/>
        <v>Middle Age</v>
      </c>
      <c r="N135" t="s">
        <v>15</v>
      </c>
    </row>
    <row r="136" spans="1:14" x14ac:dyDescent="0.3">
      <c r="A136">
        <v>21094</v>
      </c>
      <c r="B136" t="s">
        <v>38</v>
      </c>
      <c r="C136" t="s">
        <v>39</v>
      </c>
      <c r="D136">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40</v>
      </c>
      <c r="D137">
        <v>10000</v>
      </c>
      <c r="E137">
        <v>2</v>
      </c>
      <c r="F137" t="s">
        <v>19</v>
      </c>
      <c r="G137" t="s">
        <v>25</v>
      </c>
      <c r="H137" t="s">
        <v>15</v>
      </c>
      <c r="I137">
        <v>1</v>
      </c>
      <c r="J137" t="s">
        <v>22</v>
      </c>
      <c r="K137" t="s">
        <v>17</v>
      </c>
      <c r="L137">
        <v>52</v>
      </c>
      <c r="M137" t="str">
        <f t="shared" si="2"/>
        <v>Old</v>
      </c>
      <c r="N137" t="s">
        <v>18</v>
      </c>
    </row>
    <row r="138" spans="1:14" x14ac:dyDescent="0.3">
      <c r="A138">
        <v>28683</v>
      </c>
      <c r="B138" t="s">
        <v>38</v>
      </c>
      <c r="C138" t="s">
        <v>39</v>
      </c>
      <c r="D138">
        <v>10000</v>
      </c>
      <c r="E138">
        <v>1</v>
      </c>
      <c r="F138" t="s">
        <v>27</v>
      </c>
      <c r="G138" t="s">
        <v>25</v>
      </c>
      <c r="H138" t="s">
        <v>18</v>
      </c>
      <c r="I138">
        <v>1</v>
      </c>
      <c r="J138" t="s">
        <v>23</v>
      </c>
      <c r="K138" t="s">
        <v>17</v>
      </c>
      <c r="L138">
        <v>35</v>
      </c>
      <c r="M138" t="str">
        <f t="shared" si="2"/>
        <v>Adolescent</v>
      </c>
      <c r="N138" t="s">
        <v>15</v>
      </c>
    </row>
    <row r="139" spans="1:14" x14ac:dyDescent="0.3">
      <c r="A139">
        <v>17994</v>
      </c>
      <c r="B139" t="s">
        <v>38</v>
      </c>
      <c r="C139" t="s">
        <v>40</v>
      </c>
      <c r="D139">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v>20000</v>
      </c>
      <c r="E140">
        <v>2</v>
      </c>
      <c r="F140" t="s">
        <v>29</v>
      </c>
      <c r="G140" t="s">
        <v>20</v>
      </c>
      <c r="H140" t="s">
        <v>15</v>
      </c>
      <c r="I140">
        <v>2</v>
      </c>
      <c r="J140" t="s">
        <v>23</v>
      </c>
      <c r="K140" t="s">
        <v>24</v>
      </c>
      <c r="L140">
        <v>55</v>
      </c>
      <c r="M140" t="str">
        <f t="shared" si="2"/>
        <v>Middle Age</v>
      </c>
      <c r="N140" t="s">
        <v>15</v>
      </c>
    </row>
    <row r="141" spans="1:14" x14ac:dyDescent="0.3">
      <c r="A141">
        <v>26547</v>
      </c>
      <c r="B141" t="s">
        <v>38</v>
      </c>
      <c r="C141" t="s">
        <v>39</v>
      </c>
      <c r="D141">
        <v>30000</v>
      </c>
      <c r="E141">
        <v>2</v>
      </c>
      <c r="F141" t="s">
        <v>19</v>
      </c>
      <c r="G141" t="s">
        <v>20</v>
      </c>
      <c r="H141" t="s">
        <v>18</v>
      </c>
      <c r="I141">
        <v>2</v>
      </c>
      <c r="J141" t="s">
        <v>23</v>
      </c>
      <c r="K141" t="s">
        <v>24</v>
      </c>
      <c r="L141">
        <v>60</v>
      </c>
      <c r="M141" t="str">
        <f t="shared" si="2"/>
        <v>Middle Age</v>
      </c>
      <c r="N141" t="s">
        <v>15</v>
      </c>
    </row>
    <row r="142" spans="1:14" x14ac:dyDescent="0.3">
      <c r="A142">
        <v>22500</v>
      </c>
      <c r="B142" t="s">
        <v>38</v>
      </c>
      <c r="C142" t="s">
        <v>40</v>
      </c>
      <c r="D142">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v>10000</v>
      </c>
      <c r="E143">
        <v>0</v>
      </c>
      <c r="F143" t="s">
        <v>19</v>
      </c>
      <c r="G143" t="s">
        <v>25</v>
      </c>
      <c r="H143" t="s">
        <v>18</v>
      </c>
      <c r="I143">
        <v>1</v>
      </c>
      <c r="J143" t="s">
        <v>16</v>
      </c>
      <c r="K143" t="s">
        <v>24</v>
      </c>
      <c r="L143">
        <v>26</v>
      </c>
      <c r="M143" t="str">
        <f t="shared" si="2"/>
        <v>Middle Age</v>
      </c>
      <c r="N143" t="s">
        <v>15</v>
      </c>
    </row>
    <row r="144" spans="1:14" x14ac:dyDescent="0.3">
      <c r="A144">
        <v>14832</v>
      </c>
      <c r="B144" t="s">
        <v>36</v>
      </c>
      <c r="C144" t="s">
        <v>40</v>
      </c>
      <c r="D14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v>80000</v>
      </c>
      <c r="E145">
        <v>0</v>
      </c>
      <c r="F145" t="s">
        <v>13</v>
      </c>
      <c r="G145" t="s">
        <v>21</v>
      </c>
      <c r="H145" t="s">
        <v>15</v>
      </c>
      <c r="I145">
        <v>3</v>
      </c>
      <c r="J145" t="s">
        <v>47</v>
      </c>
      <c r="K145" t="s">
        <v>24</v>
      </c>
      <c r="L145">
        <v>32</v>
      </c>
      <c r="M145" t="str">
        <f t="shared" si="2"/>
        <v>Old</v>
      </c>
      <c r="N145" t="s">
        <v>18</v>
      </c>
    </row>
    <row r="146" spans="1:14" x14ac:dyDescent="0.3">
      <c r="A146">
        <v>20877</v>
      </c>
      <c r="B146" t="s">
        <v>38</v>
      </c>
      <c r="C146" t="s">
        <v>40</v>
      </c>
      <c r="D146">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40</v>
      </c>
      <c r="D148">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40</v>
      </c>
      <c r="D150">
        <v>20000</v>
      </c>
      <c r="E150">
        <v>4</v>
      </c>
      <c r="F150" t="s">
        <v>27</v>
      </c>
      <c r="G150" t="s">
        <v>14</v>
      </c>
      <c r="H150" t="s">
        <v>15</v>
      </c>
      <c r="I150">
        <v>2</v>
      </c>
      <c r="J150" t="s">
        <v>23</v>
      </c>
      <c r="K150" t="s">
        <v>24</v>
      </c>
      <c r="L150">
        <v>60</v>
      </c>
      <c r="M150" t="str">
        <f t="shared" si="2"/>
        <v>Middle Age</v>
      </c>
      <c r="N150" t="s">
        <v>18</v>
      </c>
    </row>
    <row r="151" spans="1:14" x14ac:dyDescent="0.3">
      <c r="A151">
        <v>12728</v>
      </c>
      <c r="B151" t="s">
        <v>38</v>
      </c>
      <c r="C151" t="s">
        <v>40</v>
      </c>
      <c r="D151">
        <v>30000</v>
      </c>
      <c r="E151">
        <v>0</v>
      </c>
      <c r="F151" t="s">
        <v>19</v>
      </c>
      <c r="G151" t="s">
        <v>20</v>
      </c>
      <c r="H151" t="s">
        <v>18</v>
      </c>
      <c r="I151">
        <v>1</v>
      </c>
      <c r="J151" t="s">
        <v>26</v>
      </c>
      <c r="K151" t="s">
        <v>17</v>
      </c>
      <c r="L151">
        <v>27</v>
      </c>
      <c r="M151" t="str">
        <f t="shared" si="2"/>
        <v>Middle Age</v>
      </c>
      <c r="N151" t="s">
        <v>18</v>
      </c>
    </row>
    <row r="152" spans="1:14" x14ac:dyDescent="0.3">
      <c r="A152">
        <v>26154</v>
      </c>
      <c r="B152" t="s">
        <v>36</v>
      </c>
      <c r="C152" t="s">
        <v>40</v>
      </c>
      <c r="D152">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40</v>
      </c>
      <c r="D153">
        <v>100000</v>
      </c>
      <c r="E153">
        <v>1</v>
      </c>
      <c r="F153" t="s">
        <v>13</v>
      </c>
      <c r="G153" t="s">
        <v>28</v>
      </c>
      <c r="H153" t="s">
        <v>18</v>
      </c>
      <c r="I153">
        <v>3</v>
      </c>
      <c r="J153" t="s">
        <v>16</v>
      </c>
      <c r="K153" t="s">
        <v>24</v>
      </c>
      <c r="L153">
        <v>48</v>
      </c>
      <c r="M153" t="str">
        <f t="shared" si="2"/>
        <v>Adolescent</v>
      </c>
      <c r="N153" t="s">
        <v>18</v>
      </c>
    </row>
    <row r="154" spans="1:14" x14ac:dyDescent="0.3">
      <c r="A154">
        <v>17845</v>
      </c>
      <c r="B154" t="s">
        <v>38</v>
      </c>
      <c r="C154" t="s">
        <v>39</v>
      </c>
      <c r="D154">
        <v>20000</v>
      </c>
      <c r="E154">
        <v>0</v>
      </c>
      <c r="F154" t="s">
        <v>29</v>
      </c>
      <c r="G154" t="s">
        <v>25</v>
      </c>
      <c r="H154" t="s">
        <v>18</v>
      </c>
      <c r="I154">
        <v>2</v>
      </c>
      <c r="J154" t="s">
        <v>26</v>
      </c>
      <c r="K154" t="s">
        <v>17</v>
      </c>
      <c r="L154">
        <v>32</v>
      </c>
      <c r="M154" t="str">
        <f t="shared" si="2"/>
        <v>Adolescent</v>
      </c>
      <c r="N154" t="s">
        <v>18</v>
      </c>
    </row>
    <row r="155" spans="1:14" x14ac:dyDescent="0.3">
      <c r="A155">
        <v>25058</v>
      </c>
      <c r="B155" t="s">
        <v>36</v>
      </c>
      <c r="C155" t="s">
        <v>40</v>
      </c>
      <c r="D155">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40</v>
      </c>
      <c r="D156">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v>130000</v>
      </c>
      <c r="E158">
        <v>5</v>
      </c>
      <c r="F158" t="s">
        <v>19</v>
      </c>
      <c r="G158" t="s">
        <v>21</v>
      </c>
      <c r="H158" t="s">
        <v>15</v>
      </c>
      <c r="I158">
        <v>4</v>
      </c>
      <c r="J158" t="s">
        <v>16</v>
      </c>
      <c r="K158" t="s">
        <v>17</v>
      </c>
      <c r="L158">
        <v>59</v>
      </c>
      <c r="M158" t="str">
        <f t="shared" si="2"/>
        <v>Middle Age</v>
      </c>
      <c r="N158" t="s">
        <v>18</v>
      </c>
    </row>
    <row r="159" spans="1:14" x14ac:dyDescent="0.3">
      <c r="A159">
        <v>23979</v>
      </c>
      <c r="B159" t="s">
        <v>38</v>
      </c>
      <c r="C159" t="s">
        <v>40</v>
      </c>
      <c r="D159">
        <v>10000</v>
      </c>
      <c r="E159">
        <v>2</v>
      </c>
      <c r="F159" t="s">
        <v>19</v>
      </c>
      <c r="G159" t="s">
        <v>25</v>
      </c>
      <c r="H159" t="s">
        <v>18</v>
      </c>
      <c r="I159">
        <v>0</v>
      </c>
      <c r="J159" t="s">
        <v>16</v>
      </c>
      <c r="K159" t="s">
        <v>17</v>
      </c>
      <c r="L159">
        <v>50</v>
      </c>
      <c r="M159" t="str">
        <f t="shared" si="2"/>
        <v>Old</v>
      </c>
      <c r="N159" t="s">
        <v>18</v>
      </c>
    </row>
    <row r="160" spans="1:14" x14ac:dyDescent="0.3">
      <c r="A160">
        <v>25605</v>
      </c>
      <c r="B160" t="s">
        <v>38</v>
      </c>
      <c r="C160" t="s">
        <v>39</v>
      </c>
      <c r="D160">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v>60000</v>
      </c>
      <c r="E162">
        <v>1</v>
      </c>
      <c r="F162" t="s">
        <v>13</v>
      </c>
      <c r="G162" t="s">
        <v>21</v>
      </c>
      <c r="H162" t="s">
        <v>15</v>
      </c>
      <c r="I162">
        <v>1</v>
      </c>
      <c r="J162" t="s">
        <v>23</v>
      </c>
      <c r="K162" t="s">
        <v>24</v>
      </c>
      <c r="L162">
        <v>44</v>
      </c>
      <c r="M162" t="str">
        <f t="shared" si="2"/>
        <v>Adolescent</v>
      </c>
      <c r="N162" t="s">
        <v>15</v>
      </c>
    </row>
    <row r="163" spans="1:14" x14ac:dyDescent="0.3">
      <c r="A163">
        <v>25460</v>
      </c>
      <c r="B163" t="s">
        <v>36</v>
      </c>
      <c r="C163" t="s">
        <v>39</v>
      </c>
      <c r="D16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40</v>
      </c>
      <c r="D165">
        <v>40000</v>
      </c>
      <c r="E165">
        <v>2</v>
      </c>
      <c r="F165" t="s">
        <v>19</v>
      </c>
      <c r="G165" t="s">
        <v>14</v>
      </c>
      <c r="H165" t="s">
        <v>18</v>
      </c>
      <c r="I165">
        <v>2</v>
      </c>
      <c r="J165" t="s">
        <v>26</v>
      </c>
      <c r="K165" t="s">
        <v>24</v>
      </c>
      <c r="L165">
        <v>52</v>
      </c>
      <c r="M165" t="str">
        <f t="shared" si="2"/>
        <v>Adolescent</v>
      </c>
      <c r="N165" t="s">
        <v>18</v>
      </c>
    </row>
    <row r="166" spans="1:14" x14ac:dyDescent="0.3">
      <c r="A166">
        <v>22402</v>
      </c>
      <c r="B166" t="s">
        <v>36</v>
      </c>
      <c r="C166" t="s">
        <v>40</v>
      </c>
      <c r="D166">
        <v>10000</v>
      </c>
      <c r="E166">
        <v>0</v>
      </c>
      <c r="F166" t="s">
        <v>19</v>
      </c>
      <c r="G166" t="s">
        <v>25</v>
      </c>
      <c r="H166" t="s">
        <v>15</v>
      </c>
      <c r="I166">
        <v>1</v>
      </c>
      <c r="J166" t="s">
        <v>22</v>
      </c>
      <c r="K166" t="s">
        <v>24</v>
      </c>
      <c r="L166">
        <v>25</v>
      </c>
      <c r="M166" t="str">
        <f t="shared" si="2"/>
        <v>Middle Age</v>
      </c>
      <c r="N166" t="s">
        <v>15</v>
      </c>
    </row>
    <row r="167" spans="1:14" x14ac:dyDescent="0.3">
      <c r="A167">
        <v>15465</v>
      </c>
      <c r="B167" t="s">
        <v>36</v>
      </c>
      <c r="C167" t="s">
        <v>39</v>
      </c>
      <c r="D167">
        <v>10000</v>
      </c>
      <c r="E167">
        <v>0</v>
      </c>
      <c r="F167" t="s">
        <v>19</v>
      </c>
      <c r="G167" t="s">
        <v>25</v>
      </c>
      <c r="H167" t="s">
        <v>18</v>
      </c>
      <c r="I167">
        <v>1</v>
      </c>
      <c r="J167" t="s">
        <v>16</v>
      </c>
      <c r="K167" t="s">
        <v>24</v>
      </c>
      <c r="L167">
        <v>25</v>
      </c>
      <c r="M167" t="str">
        <f t="shared" si="2"/>
        <v>Old</v>
      </c>
      <c r="N167" t="s">
        <v>18</v>
      </c>
    </row>
    <row r="168" spans="1:14" x14ac:dyDescent="0.3">
      <c r="A168">
        <v>26757</v>
      </c>
      <c r="B168" t="s">
        <v>38</v>
      </c>
      <c r="C168" t="s">
        <v>40</v>
      </c>
      <c r="D168">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40</v>
      </c>
      <c r="D169">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40</v>
      </c>
      <c r="D170">
        <v>70000</v>
      </c>
      <c r="E170">
        <v>0</v>
      </c>
      <c r="F170" t="s">
        <v>13</v>
      </c>
      <c r="G170" t="s">
        <v>21</v>
      </c>
      <c r="H170" t="s">
        <v>18</v>
      </c>
      <c r="I170">
        <v>1</v>
      </c>
      <c r="J170" t="s">
        <v>23</v>
      </c>
      <c r="K170" t="s">
        <v>24</v>
      </c>
      <c r="L170">
        <v>41</v>
      </c>
      <c r="M170" t="str">
        <f t="shared" si="2"/>
        <v>Old</v>
      </c>
      <c r="N170" t="s">
        <v>15</v>
      </c>
    </row>
    <row r="171" spans="1:14" x14ac:dyDescent="0.3">
      <c r="A171">
        <v>12273</v>
      </c>
      <c r="B171" t="s">
        <v>36</v>
      </c>
      <c r="C171" t="s">
        <v>40</v>
      </c>
      <c r="D17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40</v>
      </c>
      <c r="D17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v>10000</v>
      </c>
      <c r="E175">
        <v>0</v>
      </c>
      <c r="F175" t="s">
        <v>19</v>
      </c>
      <c r="G175" t="s">
        <v>25</v>
      </c>
      <c r="H175" t="s">
        <v>15</v>
      </c>
      <c r="I175">
        <v>1</v>
      </c>
      <c r="J175" t="s">
        <v>22</v>
      </c>
      <c r="K175" t="s">
        <v>24</v>
      </c>
      <c r="L175">
        <v>27</v>
      </c>
      <c r="M175" t="str">
        <f t="shared" si="2"/>
        <v>Old</v>
      </c>
      <c r="N175" t="s">
        <v>18</v>
      </c>
    </row>
    <row r="176" spans="1:14" x14ac:dyDescent="0.3">
      <c r="A176">
        <v>19442</v>
      </c>
      <c r="B176" t="s">
        <v>38</v>
      </c>
      <c r="C176" t="s">
        <v>40</v>
      </c>
      <c r="D176">
        <v>50000</v>
      </c>
      <c r="E176">
        <v>0</v>
      </c>
      <c r="F176" t="s">
        <v>31</v>
      </c>
      <c r="G176" t="s">
        <v>14</v>
      </c>
      <c r="H176" t="s">
        <v>15</v>
      </c>
      <c r="I176">
        <v>0</v>
      </c>
      <c r="J176" t="s">
        <v>16</v>
      </c>
      <c r="K176" t="s">
        <v>17</v>
      </c>
      <c r="L176">
        <v>37</v>
      </c>
      <c r="M176" t="str">
        <f t="shared" si="2"/>
        <v>Old</v>
      </c>
      <c r="N176" t="s">
        <v>15</v>
      </c>
    </row>
    <row r="177" spans="1:14" x14ac:dyDescent="0.3">
      <c r="A177">
        <v>17504</v>
      </c>
      <c r="B177" t="s">
        <v>38</v>
      </c>
      <c r="C177" t="s">
        <v>39</v>
      </c>
      <c r="D177">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v>20000</v>
      </c>
      <c r="E178">
        <v>0</v>
      </c>
      <c r="F178" t="s">
        <v>19</v>
      </c>
      <c r="G178" t="s">
        <v>25</v>
      </c>
      <c r="H178" t="s">
        <v>15</v>
      </c>
      <c r="I178">
        <v>0</v>
      </c>
      <c r="J178" t="s">
        <v>16</v>
      </c>
      <c r="K178" t="s">
        <v>24</v>
      </c>
      <c r="L178">
        <v>29</v>
      </c>
      <c r="M178" t="str">
        <f t="shared" si="2"/>
        <v>Middle Age</v>
      </c>
      <c r="N178" t="s">
        <v>15</v>
      </c>
    </row>
    <row r="179" spans="1:14" x14ac:dyDescent="0.3">
      <c r="A179">
        <v>27304</v>
      </c>
      <c r="B179" t="s">
        <v>38</v>
      </c>
      <c r="C179" t="s">
        <v>39</v>
      </c>
      <c r="D179">
        <v>110000</v>
      </c>
      <c r="E179">
        <v>2</v>
      </c>
      <c r="F179" t="s">
        <v>19</v>
      </c>
      <c r="G179" t="s">
        <v>21</v>
      </c>
      <c r="H179" t="s">
        <v>18</v>
      </c>
      <c r="I179">
        <v>3</v>
      </c>
      <c r="J179" t="s">
        <v>23</v>
      </c>
      <c r="K179" t="s">
        <v>17</v>
      </c>
      <c r="L179">
        <v>48</v>
      </c>
      <c r="M179" t="str">
        <f t="shared" si="2"/>
        <v>Old</v>
      </c>
      <c r="N179" t="s">
        <v>18</v>
      </c>
    </row>
    <row r="180" spans="1:14" x14ac:dyDescent="0.3">
      <c r="A180">
        <v>14191</v>
      </c>
      <c r="B180" t="s">
        <v>36</v>
      </c>
      <c r="C180" t="s">
        <v>40</v>
      </c>
      <c r="D180">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39</v>
      </c>
      <c r="D181">
        <v>10000</v>
      </c>
      <c r="E181">
        <v>0</v>
      </c>
      <c r="F181" t="s">
        <v>31</v>
      </c>
      <c r="G181" t="s">
        <v>25</v>
      </c>
      <c r="H181" t="s">
        <v>15</v>
      </c>
      <c r="I181">
        <v>0</v>
      </c>
      <c r="J181" t="s">
        <v>16</v>
      </c>
      <c r="K181" t="s">
        <v>17</v>
      </c>
      <c r="L181">
        <v>37</v>
      </c>
      <c r="M181" t="str">
        <f t="shared" si="2"/>
        <v>Old</v>
      </c>
      <c r="N181" t="s">
        <v>15</v>
      </c>
    </row>
    <row r="182" spans="1:14" x14ac:dyDescent="0.3">
      <c r="A182">
        <v>25529</v>
      </c>
      <c r="B182" t="s">
        <v>38</v>
      </c>
      <c r="C182" t="s">
        <v>40</v>
      </c>
      <c r="D182">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v>10000</v>
      </c>
      <c r="E184">
        <v>2</v>
      </c>
      <c r="F184" t="s">
        <v>27</v>
      </c>
      <c r="G184" t="s">
        <v>25</v>
      </c>
      <c r="H184" t="s">
        <v>18</v>
      </c>
      <c r="I184">
        <v>1</v>
      </c>
      <c r="J184" t="s">
        <v>16</v>
      </c>
      <c r="K184" t="s">
        <v>17</v>
      </c>
      <c r="L184">
        <v>38</v>
      </c>
      <c r="M184" t="str">
        <f t="shared" si="2"/>
        <v>Adolescent</v>
      </c>
      <c r="N184" t="s">
        <v>18</v>
      </c>
    </row>
    <row r="185" spans="1:14" x14ac:dyDescent="0.3">
      <c r="A185">
        <v>15265</v>
      </c>
      <c r="B185" t="s">
        <v>38</v>
      </c>
      <c r="C185" t="s">
        <v>40</v>
      </c>
      <c r="D185">
        <v>40000</v>
      </c>
      <c r="E185">
        <v>2</v>
      </c>
      <c r="F185" t="s">
        <v>13</v>
      </c>
      <c r="G185" t="s">
        <v>28</v>
      </c>
      <c r="H185" t="s">
        <v>15</v>
      </c>
      <c r="I185">
        <v>2</v>
      </c>
      <c r="J185" t="s">
        <v>23</v>
      </c>
      <c r="K185" t="s">
        <v>24</v>
      </c>
      <c r="L185">
        <v>66</v>
      </c>
      <c r="M185" t="str">
        <f t="shared" si="2"/>
        <v>Middle Age</v>
      </c>
      <c r="N185" t="s">
        <v>15</v>
      </c>
    </row>
    <row r="186" spans="1:14" x14ac:dyDescent="0.3">
      <c r="A186">
        <v>28918</v>
      </c>
      <c r="B186" t="s">
        <v>36</v>
      </c>
      <c r="C186" t="s">
        <v>39</v>
      </c>
      <c r="D186">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v>30000</v>
      </c>
      <c r="E188">
        <v>3</v>
      </c>
      <c r="F188" t="s">
        <v>27</v>
      </c>
      <c r="G188" t="s">
        <v>14</v>
      </c>
      <c r="H188" t="s">
        <v>18</v>
      </c>
      <c r="I188">
        <v>2</v>
      </c>
      <c r="J188" t="s">
        <v>26</v>
      </c>
      <c r="K188" t="s">
        <v>24</v>
      </c>
      <c r="L188">
        <v>56</v>
      </c>
      <c r="M188" t="str">
        <f t="shared" si="2"/>
        <v>Middle Age</v>
      </c>
      <c r="N188" t="s">
        <v>15</v>
      </c>
    </row>
    <row r="189" spans="1:14" x14ac:dyDescent="0.3">
      <c r="A189">
        <v>18151</v>
      </c>
      <c r="B189" t="s">
        <v>38</v>
      </c>
      <c r="C189" t="s">
        <v>40</v>
      </c>
      <c r="D189">
        <v>80000</v>
      </c>
      <c r="E189">
        <v>5</v>
      </c>
      <c r="F189" t="s">
        <v>19</v>
      </c>
      <c r="G189" t="s">
        <v>21</v>
      </c>
      <c r="H189" t="s">
        <v>18</v>
      </c>
      <c r="I189">
        <v>2</v>
      </c>
      <c r="J189" t="s">
        <v>47</v>
      </c>
      <c r="K189" t="s">
        <v>17</v>
      </c>
      <c r="L189">
        <v>59</v>
      </c>
      <c r="M189" t="str">
        <f t="shared" si="2"/>
        <v>Middle Age</v>
      </c>
      <c r="N189" t="s">
        <v>18</v>
      </c>
    </row>
    <row r="190" spans="1:14" x14ac:dyDescent="0.3">
      <c r="A190">
        <v>20606</v>
      </c>
      <c r="B190" t="s">
        <v>36</v>
      </c>
      <c r="C190" t="s">
        <v>39</v>
      </c>
      <c r="D190">
        <v>70000</v>
      </c>
      <c r="E190">
        <v>0</v>
      </c>
      <c r="F190" t="s">
        <v>13</v>
      </c>
      <c r="G190" t="s">
        <v>21</v>
      </c>
      <c r="H190" t="s">
        <v>15</v>
      </c>
      <c r="I190">
        <v>4</v>
      </c>
      <c r="J190" t="s">
        <v>47</v>
      </c>
      <c r="K190" t="s">
        <v>24</v>
      </c>
      <c r="L190">
        <v>32</v>
      </c>
      <c r="M190" t="str">
        <f t="shared" si="2"/>
        <v>Adolescent</v>
      </c>
      <c r="N190" t="s">
        <v>15</v>
      </c>
    </row>
    <row r="191" spans="1:14" x14ac:dyDescent="0.3">
      <c r="A191">
        <v>19482</v>
      </c>
      <c r="B191" t="s">
        <v>36</v>
      </c>
      <c r="C191" t="s">
        <v>40</v>
      </c>
      <c r="D19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40</v>
      </c>
      <c r="D192">
        <v>30000</v>
      </c>
      <c r="E192">
        <v>3</v>
      </c>
      <c r="F192" t="s">
        <v>27</v>
      </c>
      <c r="G192" t="s">
        <v>14</v>
      </c>
      <c r="H192" t="s">
        <v>15</v>
      </c>
      <c r="I192">
        <v>2</v>
      </c>
      <c r="J192" t="s">
        <v>23</v>
      </c>
      <c r="K192" t="s">
        <v>24</v>
      </c>
      <c r="L192">
        <v>55</v>
      </c>
      <c r="M192" t="str">
        <f t="shared" si="2"/>
        <v>Middle Age</v>
      </c>
      <c r="N192" t="s">
        <v>18</v>
      </c>
    </row>
    <row r="193" spans="1:14" x14ac:dyDescent="0.3">
      <c r="A193">
        <v>26944</v>
      </c>
      <c r="B193" t="s">
        <v>38</v>
      </c>
      <c r="C193" t="s">
        <v>40</v>
      </c>
      <c r="D19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v>80000</v>
      </c>
      <c r="E194">
        <v>5</v>
      </c>
      <c r="F194" t="s">
        <v>13</v>
      </c>
      <c r="G194" t="s">
        <v>28</v>
      </c>
      <c r="H194" t="s">
        <v>15</v>
      </c>
      <c r="I194">
        <v>2</v>
      </c>
      <c r="J194" t="s">
        <v>47</v>
      </c>
      <c r="K194" t="s">
        <v>17</v>
      </c>
      <c r="L194">
        <v>62</v>
      </c>
      <c r="M194" t="str">
        <f t="shared" si="2"/>
        <v>Middle Age</v>
      </c>
      <c r="N194" t="s">
        <v>18</v>
      </c>
    </row>
    <row r="195" spans="1:14" x14ac:dyDescent="0.3">
      <c r="A195">
        <v>26032</v>
      </c>
      <c r="B195" t="s">
        <v>36</v>
      </c>
      <c r="C195" t="s">
        <v>39</v>
      </c>
      <c r="D195">
        <v>70000</v>
      </c>
      <c r="E195">
        <v>5</v>
      </c>
      <c r="F195" t="s">
        <v>13</v>
      </c>
      <c r="G195" t="s">
        <v>21</v>
      </c>
      <c r="H195" t="s">
        <v>15</v>
      </c>
      <c r="I195">
        <v>4</v>
      </c>
      <c r="J195" t="s">
        <v>47</v>
      </c>
      <c r="K195" t="s">
        <v>24</v>
      </c>
      <c r="L195">
        <v>41</v>
      </c>
      <c r="M195" t="str">
        <f t="shared" ref="M195:M258" si="3">IF(L208&gt;54, "Old", IF(L208&gt;=31, "Middle Age", IF(L208&lt;31, "Adolescent", "Invalid")))</f>
        <v>Old</v>
      </c>
      <c r="N195" t="s">
        <v>18</v>
      </c>
    </row>
    <row r="196" spans="1:14" x14ac:dyDescent="0.3">
      <c r="A196">
        <v>17843</v>
      </c>
      <c r="B196" t="s">
        <v>38</v>
      </c>
      <c r="C196" t="s">
        <v>39</v>
      </c>
      <c r="D196">
        <v>10000</v>
      </c>
      <c r="E196">
        <v>0</v>
      </c>
      <c r="F196" t="s">
        <v>29</v>
      </c>
      <c r="G196" t="s">
        <v>25</v>
      </c>
      <c r="H196" t="s">
        <v>18</v>
      </c>
      <c r="I196">
        <v>2</v>
      </c>
      <c r="J196" t="s">
        <v>16</v>
      </c>
      <c r="K196" t="s">
        <v>17</v>
      </c>
      <c r="L196">
        <v>32</v>
      </c>
      <c r="M196" t="str">
        <f t="shared" si="3"/>
        <v>Adolescent</v>
      </c>
      <c r="N196" t="s">
        <v>18</v>
      </c>
    </row>
    <row r="197" spans="1:14" x14ac:dyDescent="0.3">
      <c r="A197">
        <v>25559</v>
      </c>
      <c r="B197" t="s">
        <v>38</v>
      </c>
      <c r="C197" t="s">
        <v>40</v>
      </c>
      <c r="D197">
        <v>20000</v>
      </c>
      <c r="E197">
        <v>0</v>
      </c>
      <c r="F197" t="s">
        <v>13</v>
      </c>
      <c r="G197" t="s">
        <v>20</v>
      </c>
      <c r="H197" t="s">
        <v>15</v>
      </c>
      <c r="I197">
        <v>0</v>
      </c>
      <c r="J197" t="s">
        <v>16</v>
      </c>
      <c r="K197" t="s">
        <v>24</v>
      </c>
      <c r="L197">
        <v>25</v>
      </c>
      <c r="M197" t="str">
        <f t="shared" si="3"/>
        <v>Middle Age</v>
      </c>
      <c r="N197" t="s">
        <v>15</v>
      </c>
    </row>
    <row r="198" spans="1:14" x14ac:dyDescent="0.3">
      <c r="A198">
        <v>16209</v>
      </c>
      <c r="B198" t="s">
        <v>38</v>
      </c>
      <c r="C198" t="s">
        <v>39</v>
      </c>
      <c r="D198">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40</v>
      </c>
      <c r="D199">
        <v>60000</v>
      </c>
      <c r="E199">
        <v>2</v>
      </c>
      <c r="F199" t="s">
        <v>31</v>
      </c>
      <c r="G199" t="s">
        <v>28</v>
      </c>
      <c r="H199" t="s">
        <v>15</v>
      </c>
      <c r="I199">
        <v>1</v>
      </c>
      <c r="J199" t="s">
        <v>16</v>
      </c>
      <c r="K199" t="s">
        <v>24</v>
      </c>
      <c r="L199">
        <v>67</v>
      </c>
      <c r="M199" t="str">
        <f t="shared" si="3"/>
        <v>Middle Age</v>
      </c>
      <c r="N199" t="s">
        <v>15</v>
      </c>
    </row>
    <row r="200" spans="1:14" x14ac:dyDescent="0.3">
      <c r="A200">
        <v>15214</v>
      </c>
      <c r="B200" t="s">
        <v>38</v>
      </c>
      <c r="C200" t="s">
        <v>39</v>
      </c>
      <c r="D200">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40</v>
      </c>
      <c r="D201">
        <v>80000</v>
      </c>
      <c r="E201">
        <v>0</v>
      </c>
      <c r="F201" t="s">
        <v>13</v>
      </c>
      <c r="G201" t="s">
        <v>21</v>
      </c>
      <c r="H201" t="s">
        <v>18</v>
      </c>
      <c r="I201">
        <v>3</v>
      </c>
      <c r="J201" t="s">
        <v>47</v>
      </c>
      <c r="K201" t="s">
        <v>24</v>
      </c>
      <c r="L201">
        <v>33</v>
      </c>
      <c r="M201" t="str">
        <f t="shared" si="3"/>
        <v>Adolescent</v>
      </c>
      <c r="N201" t="s">
        <v>15</v>
      </c>
    </row>
    <row r="202" spans="1:14" x14ac:dyDescent="0.3">
      <c r="A202">
        <v>24584</v>
      </c>
      <c r="B202" t="s">
        <v>38</v>
      </c>
      <c r="C202" t="s">
        <v>40</v>
      </c>
      <c r="D202">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40</v>
      </c>
      <c r="D203">
        <v>10000</v>
      </c>
      <c r="E203">
        <v>1</v>
      </c>
      <c r="F203" t="s">
        <v>27</v>
      </c>
      <c r="G203" t="s">
        <v>25</v>
      </c>
      <c r="H203" t="s">
        <v>15</v>
      </c>
      <c r="I203">
        <v>0</v>
      </c>
      <c r="J203" t="s">
        <v>22</v>
      </c>
      <c r="K203" t="s">
        <v>24</v>
      </c>
      <c r="L203">
        <v>27</v>
      </c>
      <c r="M203" t="str">
        <f t="shared" si="3"/>
        <v>Old</v>
      </c>
      <c r="N203" t="s">
        <v>15</v>
      </c>
    </row>
    <row r="204" spans="1:14" x14ac:dyDescent="0.3">
      <c r="A204">
        <v>18626</v>
      </c>
      <c r="B204" t="s">
        <v>38</v>
      </c>
      <c r="C204" t="s">
        <v>40</v>
      </c>
      <c r="D204">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v>90000</v>
      </c>
      <c r="E206">
        <v>3</v>
      </c>
      <c r="F206" t="s">
        <v>27</v>
      </c>
      <c r="G206" t="s">
        <v>21</v>
      </c>
      <c r="H206" t="s">
        <v>18</v>
      </c>
      <c r="I206">
        <v>1</v>
      </c>
      <c r="J206" t="s">
        <v>22</v>
      </c>
      <c r="K206" t="s">
        <v>17</v>
      </c>
      <c r="L206">
        <v>51</v>
      </c>
      <c r="M206" t="str">
        <f t="shared" si="3"/>
        <v>Adolescent</v>
      </c>
      <c r="N206" t="s">
        <v>18</v>
      </c>
    </row>
    <row r="207" spans="1:14" x14ac:dyDescent="0.3">
      <c r="A207">
        <v>15657</v>
      </c>
      <c r="B207" t="s">
        <v>36</v>
      </c>
      <c r="C207" t="s">
        <v>40</v>
      </c>
      <c r="D207">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40</v>
      </c>
      <c r="D208">
        <v>90000</v>
      </c>
      <c r="E208">
        <v>5</v>
      </c>
      <c r="F208" t="s">
        <v>19</v>
      </c>
      <c r="G208" t="s">
        <v>21</v>
      </c>
      <c r="H208" t="s">
        <v>18</v>
      </c>
      <c r="I208">
        <v>2</v>
      </c>
      <c r="J208" t="s">
        <v>47</v>
      </c>
      <c r="K208" t="s">
        <v>17</v>
      </c>
      <c r="L208">
        <v>62</v>
      </c>
      <c r="M208" t="str">
        <f t="shared" si="3"/>
        <v>Adolescent</v>
      </c>
      <c r="N208" t="s">
        <v>18</v>
      </c>
    </row>
    <row r="209" spans="1:14" x14ac:dyDescent="0.3">
      <c r="A209">
        <v>28729</v>
      </c>
      <c r="B209" t="s">
        <v>38</v>
      </c>
      <c r="C209" t="s">
        <v>39</v>
      </c>
      <c r="D209">
        <v>20000</v>
      </c>
      <c r="E209">
        <v>0</v>
      </c>
      <c r="F209" t="s">
        <v>29</v>
      </c>
      <c r="G209" t="s">
        <v>25</v>
      </c>
      <c r="H209" t="s">
        <v>15</v>
      </c>
      <c r="I209">
        <v>2</v>
      </c>
      <c r="J209" t="s">
        <v>26</v>
      </c>
      <c r="K209" t="s">
        <v>17</v>
      </c>
      <c r="L209">
        <v>26</v>
      </c>
      <c r="M209" t="str">
        <f t="shared" si="3"/>
        <v>Middle Age</v>
      </c>
      <c r="N209" t="s">
        <v>15</v>
      </c>
    </row>
    <row r="210" spans="1:14" x14ac:dyDescent="0.3">
      <c r="A210">
        <v>22633</v>
      </c>
      <c r="B210" t="s">
        <v>38</v>
      </c>
      <c r="C210" t="s">
        <v>39</v>
      </c>
      <c r="D210">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v>50000</v>
      </c>
      <c r="E213">
        <v>0</v>
      </c>
      <c r="F213" t="s">
        <v>31</v>
      </c>
      <c r="G213" t="s">
        <v>14</v>
      </c>
      <c r="H213" t="s">
        <v>15</v>
      </c>
      <c r="I213">
        <v>0</v>
      </c>
      <c r="J213" t="s">
        <v>16</v>
      </c>
      <c r="K213" t="s">
        <v>17</v>
      </c>
      <c r="L213">
        <v>36</v>
      </c>
      <c r="M213" t="str">
        <f t="shared" si="3"/>
        <v>Old</v>
      </c>
      <c r="N213" t="s">
        <v>15</v>
      </c>
    </row>
    <row r="214" spans="1:14" x14ac:dyDescent="0.3">
      <c r="A214">
        <v>20946</v>
      </c>
      <c r="B214" t="s">
        <v>38</v>
      </c>
      <c r="C214" t="s">
        <v>39</v>
      </c>
      <c r="D214">
        <v>30000</v>
      </c>
      <c r="E214">
        <v>0</v>
      </c>
      <c r="F214" t="s">
        <v>19</v>
      </c>
      <c r="G214" t="s">
        <v>20</v>
      </c>
      <c r="H214" t="s">
        <v>18</v>
      </c>
      <c r="I214">
        <v>1</v>
      </c>
      <c r="J214" t="s">
        <v>22</v>
      </c>
      <c r="K214" t="s">
        <v>17</v>
      </c>
      <c r="L214">
        <v>30</v>
      </c>
      <c r="M214" t="str">
        <f t="shared" si="3"/>
        <v>Middle Age</v>
      </c>
      <c r="N214" t="s">
        <v>18</v>
      </c>
    </row>
    <row r="215" spans="1:14" x14ac:dyDescent="0.3">
      <c r="A215">
        <v>11451</v>
      </c>
      <c r="B215" t="s">
        <v>38</v>
      </c>
      <c r="C215" t="s">
        <v>40</v>
      </c>
      <c r="D215">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40</v>
      </c>
      <c r="D216">
        <v>30000</v>
      </c>
      <c r="E216">
        <v>1</v>
      </c>
      <c r="F216" t="s">
        <v>13</v>
      </c>
      <c r="G216" t="s">
        <v>20</v>
      </c>
      <c r="H216" t="s">
        <v>15</v>
      </c>
      <c r="I216">
        <v>0</v>
      </c>
      <c r="J216" t="s">
        <v>16</v>
      </c>
      <c r="K216" t="s">
        <v>17</v>
      </c>
      <c r="L216">
        <v>65</v>
      </c>
      <c r="M216" t="str">
        <f t="shared" si="3"/>
        <v>Middle Age</v>
      </c>
      <c r="N216" t="s">
        <v>15</v>
      </c>
    </row>
    <row r="217" spans="1:14" x14ac:dyDescent="0.3">
      <c r="A217">
        <v>27951</v>
      </c>
      <c r="B217" t="s">
        <v>38</v>
      </c>
      <c r="C217" t="s">
        <v>40</v>
      </c>
      <c r="D217">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40</v>
      </c>
      <c r="D218">
        <v>20000</v>
      </c>
      <c r="E218">
        <v>2</v>
      </c>
      <c r="F218" t="s">
        <v>29</v>
      </c>
      <c r="G218" t="s">
        <v>20</v>
      </c>
      <c r="H218" t="s">
        <v>15</v>
      </c>
      <c r="I218">
        <v>3</v>
      </c>
      <c r="J218" t="s">
        <v>23</v>
      </c>
      <c r="K218" t="s">
        <v>24</v>
      </c>
      <c r="L218">
        <v>54</v>
      </c>
      <c r="M218" t="str">
        <f t="shared" si="3"/>
        <v>Old</v>
      </c>
      <c r="N218" t="s">
        <v>18</v>
      </c>
    </row>
    <row r="219" spans="1:14" x14ac:dyDescent="0.3">
      <c r="A219">
        <v>13673</v>
      </c>
      <c r="B219" t="s">
        <v>38</v>
      </c>
      <c r="C219" t="s">
        <v>39</v>
      </c>
      <c r="D219">
        <v>20000</v>
      </c>
      <c r="E219">
        <v>0</v>
      </c>
      <c r="F219" t="s">
        <v>29</v>
      </c>
      <c r="G219" t="s">
        <v>25</v>
      </c>
      <c r="H219" t="s">
        <v>18</v>
      </c>
      <c r="I219">
        <v>2</v>
      </c>
      <c r="J219" t="s">
        <v>16</v>
      </c>
      <c r="K219" t="s">
        <v>17</v>
      </c>
      <c r="L219">
        <v>25</v>
      </c>
      <c r="M219" t="str">
        <f t="shared" si="3"/>
        <v>Old</v>
      </c>
      <c r="N219" t="s">
        <v>18</v>
      </c>
    </row>
    <row r="220" spans="1:14" x14ac:dyDescent="0.3">
      <c r="A220">
        <v>16043</v>
      </c>
      <c r="B220" t="s">
        <v>38</v>
      </c>
      <c r="C220" t="s">
        <v>40</v>
      </c>
      <c r="D220">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40</v>
      </c>
      <c r="D221">
        <v>10000</v>
      </c>
      <c r="E221">
        <v>0</v>
      </c>
      <c r="F221" t="s">
        <v>19</v>
      </c>
      <c r="G221" t="s">
        <v>25</v>
      </c>
      <c r="H221" t="s">
        <v>15</v>
      </c>
      <c r="I221">
        <v>1</v>
      </c>
      <c r="J221" t="s">
        <v>26</v>
      </c>
      <c r="K221" t="s">
        <v>24</v>
      </c>
      <c r="L221">
        <v>26</v>
      </c>
      <c r="M221" t="str">
        <f t="shared" si="3"/>
        <v>Middle Age</v>
      </c>
      <c r="N221" t="s">
        <v>15</v>
      </c>
    </row>
    <row r="222" spans="1:14" x14ac:dyDescent="0.3">
      <c r="A222">
        <v>27696</v>
      </c>
      <c r="B222" t="s">
        <v>36</v>
      </c>
      <c r="C222" t="s">
        <v>40</v>
      </c>
      <c r="D222">
        <v>60000</v>
      </c>
      <c r="E222">
        <v>1</v>
      </c>
      <c r="F222" t="s">
        <v>13</v>
      </c>
      <c r="G222" t="s">
        <v>21</v>
      </c>
      <c r="H222" t="s">
        <v>15</v>
      </c>
      <c r="I222">
        <v>1</v>
      </c>
      <c r="J222" t="s">
        <v>23</v>
      </c>
      <c r="K222" t="s">
        <v>24</v>
      </c>
      <c r="L222">
        <v>43</v>
      </c>
      <c r="M222" t="str">
        <f t="shared" si="3"/>
        <v>Adolescent</v>
      </c>
      <c r="N222" t="s">
        <v>15</v>
      </c>
    </row>
    <row r="223" spans="1:14" x14ac:dyDescent="0.3">
      <c r="A223">
        <v>25313</v>
      </c>
      <c r="B223" t="s">
        <v>38</v>
      </c>
      <c r="C223" t="s">
        <v>40</v>
      </c>
      <c r="D22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v>30000</v>
      </c>
      <c r="E224">
        <v>3</v>
      </c>
      <c r="F224" t="s">
        <v>19</v>
      </c>
      <c r="G224" t="s">
        <v>20</v>
      </c>
      <c r="H224" t="s">
        <v>18</v>
      </c>
      <c r="I224">
        <v>0</v>
      </c>
      <c r="J224" t="s">
        <v>16</v>
      </c>
      <c r="K224" t="s">
        <v>17</v>
      </c>
      <c r="L224">
        <v>42</v>
      </c>
      <c r="M224" t="str">
        <f t="shared" si="3"/>
        <v>Old</v>
      </c>
      <c r="N224" t="s">
        <v>18</v>
      </c>
    </row>
    <row r="225" spans="1:14" x14ac:dyDescent="0.3">
      <c r="A225">
        <v>18711</v>
      </c>
      <c r="B225" t="s">
        <v>38</v>
      </c>
      <c r="C225" t="s">
        <v>39</v>
      </c>
      <c r="D225">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v>30000</v>
      </c>
      <c r="E226">
        <v>2</v>
      </c>
      <c r="F226" t="s">
        <v>19</v>
      </c>
      <c r="G226" t="s">
        <v>20</v>
      </c>
      <c r="H226" t="s">
        <v>18</v>
      </c>
      <c r="I226">
        <v>2</v>
      </c>
      <c r="J226" t="s">
        <v>16</v>
      </c>
      <c r="K226" t="s">
        <v>24</v>
      </c>
      <c r="L226">
        <v>67</v>
      </c>
      <c r="M226" t="str">
        <f t="shared" si="3"/>
        <v>Adolescent</v>
      </c>
      <c r="N226" t="s">
        <v>18</v>
      </c>
    </row>
    <row r="227" spans="1:14" x14ac:dyDescent="0.3">
      <c r="A227">
        <v>14135</v>
      </c>
      <c r="B227" t="s">
        <v>36</v>
      </c>
      <c r="C227" t="s">
        <v>40</v>
      </c>
      <c r="D227">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40</v>
      </c>
      <c r="D229">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v>20000</v>
      </c>
      <c r="E230">
        <v>1</v>
      </c>
      <c r="F230" t="s">
        <v>31</v>
      </c>
      <c r="G230" t="s">
        <v>20</v>
      </c>
      <c r="H230" t="s">
        <v>15</v>
      </c>
      <c r="I230">
        <v>0</v>
      </c>
      <c r="J230" t="s">
        <v>16</v>
      </c>
      <c r="K230" t="s">
        <v>17</v>
      </c>
      <c r="L230">
        <v>45</v>
      </c>
      <c r="M230" t="str">
        <f t="shared" si="3"/>
        <v>Adolescent</v>
      </c>
      <c r="N230" t="s">
        <v>18</v>
      </c>
    </row>
    <row r="231" spans="1:14" x14ac:dyDescent="0.3">
      <c r="A231">
        <v>28915</v>
      </c>
      <c r="B231" t="s">
        <v>38</v>
      </c>
      <c r="C231" t="s">
        <v>40</v>
      </c>
      <c r="D231">
        <v>80000</v>
      </c>
      <c r="E231">
        <v>5</v>
      </c>
      <c r="F231" t="s">
        <v>27</v>
      </c>
      <c r="G231" t="s">
        <v>28</v>
      </c>
      <c r="H231" t="s">
        <v>15</v>
      </c>
      <c r="I231">
        <v>3</v>
      </c>
      <c r="J231" t="s">
        <v>47</v>
      </c>
      <c r="K231" t="s">
        <v>17</v>
      </c>
      <c r="L231">
        <v>57</v>
      </c>
      <c r="M231" t="str">
        <f t="shared" si="3"/>
        <v>Middle Age</v>
      </c>
      <c r="N231" t="s">
        <v>18</v>
      </c>
    </row>
    <row r="232" spans="1:14" x14ac:dyDescent="0.3">
      <c r="A232">
        <v>22830</v>
      </c>
      <c r="B232" t="s">
        <v>36</v>
      </c>
      <c r="C232" t="s">
        <v>40</v>
      </c>
      <c r="D232">
        <v>120000</v>
      </c>
      <c r="E232">
        <v>4</v>
      </c>
      <c r="F232" t="s">
        <v>19</v>
      </c>
      <c r="G232" t="s">
        <v>28</v>
      </c>
      <c r="H232" t="s">
        <v>15</v>
      </c>
      <c r="I232">
        <v>3</v>
      </c>
      <c r="J232" t="s">
        <v>47</v>
      </c>
      <c r="K232" t="s">
        <v>17</v>
      </c>
      <c r="L232">
        <v>56</v>
      </c>
      <c r="M232" t="str">
        <f t="shared" si="3"/>
        <v>Adolescent</v>
      </c>
      <c r="N232" t="s">
        <v>18</v>
      </c>
    </row>
    <row r="233" spans="1:14" x14ac:dyDescent="0.3">
      <c r="A233">
        <v>14777</v>
      </c>
      <c r="B233" t="s">
        <v>36</v>
      </c>
      <c r="C233" t="s">
        <v>39</v>
      </c>
      <c r="D23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40</v>
      </c>
      <c r="D235">
        <v>20000</v>
      </c>
      <c r="E235">
        <v>0</v>
      </c>
      <c r="F235" t="s">
        <v>13</v>
      </c>
      <c r="G235" t="s">
        <v>20</v>
      </c>
      <c r="H235" t="s">
        <v>15</v>
      </c>
      <c r="I235">
        <v>0</v>
      </c>
      <c r="J235" t="s">
        <v>16</v>
      </c>
      <c r="K235" t="s">
        <v>24</v>
      </c>
      <c r="L235">
        <v>27</v>
      </c>
      <c r="M235" t="str">
        <f t="shared" si="3"/>
        <v>Middle Age</v>
      </c>
      <c r="N235" t="s">
        <v>15</v>
      </c>
    </row>
    <row r="236" spans="1:14" x14ac:dyDescent="0.3">
      <c r="A236">
        <v>24611</v>
      </c>
      <c r="B236" t="s">
        <v>38</v>
      </c>
      <c r="C236" t="s">
        <v>40</v>
      </c>
      <c r="D236">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v>10000</v>
      </c>
      <c r="E239">
        <v>0</v>
      </c>
      <c r="F239" t="s">
        <v>19</v>
      </c>
      <c r="G239" t="s">
        <v>25</v>
      </c>
      <c r="H239" t="s">
        <v>18</v>
      </c>
      <c r="I239">
        <v>1</v>
      </c>
      <c r="J239" t="s">
        <v>16</v>
      </c>
      <c r="K239" t="s">
        <v>24</v>
      </c>
      <c r="L239">
        <v>26</v>
      </c>
      <c r="M239" t="str">
        <f t="shared" si="3"/>
        <v>Old</v>
      </c>
      <c r="N239" t="s">
        <v>15</v>
      </c>
    </row>
    <row r="240" spans="1:14" x14ac:dyDescent="0.3">
      <c r="A240">
        <v>22006</v>
      </c>
      <c r="B240" t="s">
        <v>36</v>
      </c>
      <c r="C240" t="s">
        <v>40</v>
      </c>
      <c r="D240">
        <v>70000</v>
      </c>
      <c r="E240">
        <v>5</v>
      </c>
      <c r="F240" t="s">
        <v>19</v>
      </c>
      <c r="G240" t="s">
        <v>14</v>
      </c>
      <c r="H240" t="s">
        <v>15</v>
      </c>
      <c r="I240">
        <v>3</v>
      </c>
      <c r="J240" t="s">
        <v>23</v>
      </c>
      <c r="K240" t="s">
        <v>24</v>
      </c>
      <c r="L240">
        <v>46</v>
      </c>
      <c r="M240" t="str">
        <f t="shared" si="3"/>
        <v>Old</v>
      </c>
      <c r="N240" t="s">
        <v>18</v>
      </c>
    </row>
    <row r="241" spans="1:14" x14ac:dyDescent="0.3">
      <c r="A241">
        <v>20060</v>
      </c>
      <c r="B241" t="s">
        <v>38</v>
      </c>
      <c r="C241" t="s">
        <v>39</v>
      </c>
      <c r="D24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40</v>
      </c>
      <c r="D242">
        <v>10000</v>
      </c>
      <c r="E242">
        <v>1</v>
      </c>
      <c r="F242" t="s">
        <v>31</v>
      </c>
      <c r="G242" t="s">
        <v>25</v>
      </c>
      <c r="H242" t="s">
        <v>15</v>
      </c>
      <c r="I242">
        <v>0</v>
      </c>
      <c r="J242" t="s">
        <v>16</v>
      </c>
      <c r="K242" t="s">
        <v>17</v>
      </c>
      <c r="L242">
        <v>37</v>
      </c>
      <c r="M242" t="str">
        <f t="shared" si="3"/>
        <v>Old</v>
      </c>
      <c r="N242" t="s">
        <v>18</v>
      </c>
    </row>
    <row r="243" spans="1:14" x14ac:dyDescent="0.3">
      <c r="A243">
        <v>12503</v>
      </c>
      <c r="B243" t="s">
        <v>38</v>
      </c>
      <c r="C243" t="s">
        <v>39</v>
      </c>
      <c r="D243">
        <v>30000</v>
      </c>
      <c r="E243">
        <v>3</v>
      </c>
      <c r="F243" t="s">
        <v>19</v>
      </c>
      <c r="G243" t="s">
        <v>20</v>
      </c>
      <c r="H243" t="s">
        <v>15</v>
      </c>
      <c r="I243">
        <v>2</v>
      </c>
      <c r="J243" t="s">
        <v>16</v>
      </c>
      <c r="K243" t="s">
        <v>17</v>
      </c>
      <c r="L243">
        <v>27</v>
      </c>
      <c r="M243" t="str">
        <f t="shared" si="3"/>
        <v>Old</v>
      </c>
      <c r="N243" t="s">
        <v>18</v>
      </c>
    </row>
    <row r="244" spans="1:14" x14ac:dyDescent="0.3">
      <c r="A244">
        <v>23908</v>
      </c>
      <c r="B244" t="s">
        <v>38</v>
      </c>
      <c r="C244" t="s">
        <v>40</v>
      </c>
      <c r="D244">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v>20000</v>
      </c>
      <c r="E245">
        <v>0</v>
      </c>
      <c r="F245" t="s">
        <v>27</v>
      </c>
      <c r="G245" t="s">
        <v>25</v>
      </c>
      <c r="H245" t="s">
        <v>18</v>
      </c>
      <c r="I245">
        <v>1</v>
      </c>
      <c r="J245" t="s">
        <v>22</v>
      </c>
      <c r="K245" t="s">
        <v>17</v>
      </c>
      <c r="L245">
        <v>29</v>
      </c>
      <c r="M245" t="str">
        <f t="shared" si="3"/>
        <v>Middle Age</v>
      </c>
      <c r="N245" t="s">
        <v>18</v>
      </c>
    </row>
    <row r="246" spans="1:14" x14ac:dyDescent="0.3">
      <c r="A246">
        <v>19057</v>
      </c>
      <c r="B246" t="s">
        <v>36</v>
      </c>
      <c r="C246" t="s">
        <v>39</v>
      </c>
      <c r="D246">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40</v>
      </c>
      <c r="D247">
        <v>110000</v>
      </c>
      <c r="E247">
        <v>5</v>
      </c>
      <c r="F247" t="s">
        <v>13</v>
      </c>
      <c r="G247" t="s">
        <v>28</v>
      </c>
      <c r="H247" t="s">
        <v>15</v>
      </c>
      <c r="I247">
        <v>4</v>
      </c>
      <c r="J247" t="s">
        <v>22</v>
      </c>
      <c r="K247" t="s">
        <v>24</v>
      </c>
      <c r="L247">
        <v>48</v>
      </c>
      <c r="M247" t="str">
        <f t="shared" si="3"/>
        <v>Old</v>
      </c>
      <c r="N247" t="s">
        <v>15</v>
      </c>
    </row>
    <row r="248" spans="1:14" x14ac:dyDescent="0.3">
      <c r="A248">
        <v>11249</v>
      </c>
      <c r="B248" t="s">
        <v>36</v>
      </c>
      <c r="C248" t="s">
        <v>39</v>
      </c>
      <c r="D248">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v>10000</v>
      </c>
      <c r="E250">
        <v>5</v>
      </c>
      <c r="F250" t="s">
        <v>27</v>
      </c>
      <c r="G250" t="s">
        <v>14</v>
      </c>
      <c r="H250" t="s">
        <v>18</v>
      </c>
      <c r="I250">
        <v>3</v>
      </c>
      <c r="J250" t="s">
        <v>26</v>
      </c>
      <c r="K250" t="s">
        <v>24</v>
      </c>
      <c r="L250">
        <v>62</v>
      </c>
      <c r="M250" t="str">
        <f t="shared" si="3"/>
        <v>Middle Age</v>
      </c>
      <c r="N250" t="s">
        <v>18</v>
      </c>
    </row>
    <row r="251" spans="1:14" x14ac:dyDescent="0.3">
      <c r="A251">
        <v>23432</v>
      </c>
      <c r="B251" t="s">
        <v>38</v>
      </c>
      <c r="C251" t="s">
        <v>40</v>
      </c>
      <c r="D25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40</v>
      </c>
      <c r="D252">
        <v>100000</v>
      </c>
      <c r="E252">
        <v>5</v>
      </c>
      <c r="F252" t="s">
        <v>31</v>
      </c>
      <c r="G252" t="s">
        <v>28</v>
      </c>
      <c r="H252" t="s">
        <v>18</v>
      </c>
      <c r="I252">
        <v>1</v>
      </c>
      <c r="J252" t="s">
        <v>26</v>
      </c>
      <c r="K252" t="s">
        <v>24</v>
      </c>
      <c r="L252">
        <v>78</v>
      </c>
      <c r="M252" t="str">
        <f t="shared" si="3"/>
        <v>Middle Age</v>
      </c>
      <c r="N252" t="s">
        <v>15</v>
      </c>
    </row>
    <row r="253" spans="1:14" x14ac:dyDescent="0.3">
      <c r="A253">
        <v>18172</v>
      </c>
      <c r="B253" t="s">
        <v>36</v>
      </c>
      <c r="C253" t="s">
        <v>40</v>
      </c>
      <c r="D253">
        <v>130000</v>
      </c>
      <c r="E253">
        <v>4</v>
      </c>
      <c r="F253" t="s">
        <v>27</v>
      </c>
      <c r="G253" t="s">
        <v>21</v>
      </c>
      <c r="H253" t="s">
        <v>15</v>
      </c>
      <c r="I253">
        <v>3</v>
      </c>
      <c r="J253" t="s">
        <v>16</v>
      </c>
      <c r="K253" t="s">
        <v>17</v>
      </c>
      <c r="L253">
        <v>55</v>
      </c>
      <c r="M253" t="str">
        <f t="shared" si="3"/>
        <v>Middle Age</v>
      </c>
      <c r="N253" t="s">
        <v>18</v>
      </c>
    </row>
    <row r="254" spans="1:14" x14ac:dyDescent="0.3">
      <c r="A254">
        <v>12666</v>
      </c>
      <c r="B254" t="s">
        <v>38</v>
      </c>
      <c r="C254" t="s">
        <v>40</v>
      </c>
      <c r="D25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40</v>
      </c>
      <c r="D255">
        <v>100000</v>
      </c>
      <c r="E255">
        <v>3</v>
      </c>
      <c r="F255" t="s">
        <v>29</v>
      </c>
      <c r="G255" t="s">
        <v>21</v>
      </c>
      <c r="H255" t="s">
        <v>15</v>
      </c>
      <c r="I255">
        <v>0</v>
      </c>
      <c r="J255" t="s">
        <v>47</v>
      </c>
      <c r="K255" t="s">
        <v>17</v>
      </c>
      <c r="L255">
        <v>59</v>
      </c>
      <c r="M255" t="str">
        <f t="shared" si="3"/>
        <v>Adolescent</v>
      </c>
      <c r="N255" t="s">
        <v>15</v>
      </c>
    </row>
    <row r="256" spans="1:14" x14ac:dyDescent="0.3">
      <c r="A256">
        <v>21375</v>
      </c>
      <c r="B256" t="s">
        <v>38</v>
      </c>
      <c r="C256" t="s">
        <v>40</v>
      </c>
      <c r="D256">
        <v>20000</v>
      </c>
      <c r="E256">
        <v>2</v>
      </c>
      <c r="F256" t="s">
        <v>29</v>
      </c>
      <c r="G256" t="s">
        <v>20</v>
      </c>
      <c r="H256" t="s">
        <v>15</v>
      </c>
      <c r="I256">
        <v>2</v>
      </c>
      <c r="J256" t="s">
        <v>23</v>
      </c>
      <c r="K256" t="s">
        <v>24</v>
      </c>
      <c r="L256">
        <v>57</v>
      </c>
      <c r="M256" t="str">
        <f t="shared" si="3"/>
        <v>Middle Age</v>
      </c>
      <c r="N256" t="s">
        <v>18</v>
      </c>
    </row>
    <row r="257" spans="1:14" x14ac:dyDescent="0.3">
      <c r="A257">
        <v>20839</v>
      </c>
      <c r="B257" t="s">
        <v>38</v>
      </c>
      <c r="C257" t="s">
        <v>39</v>
      </c>
      <c r="D257">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40</v>
      </c>
      <c r="D258">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v>50000</v>
      </c>
      <c r="E259">
        <v>0</v>
      </c>
      <c r="F259" t="s">
        <v>31</v>
      </c>
      <c r="G259" t="s">
        <v>14</v>
      </c>
      <c r="H259" t="s">
        <v>15</v>
      </c>
      <c r="I259">
        <v>0</v>
      </c>
      <c r="J259" t="s">
        <v>16</v>
      </c>
      <c r="K259" t="s">
        <v>17</v>
      </c>
      <c r="L259">
        <v>36</v>
      </c>
      <c r="M259" t="str">
        <f t="shared" ref="M259:M322" si="4">IF(L272&gt;54, "Old", IF(L272&gt;=31, "Middle Age", IF(L272&lt;31, "Adolescent", "Invalid")))</f>
        <v>Middle Age</v>
      </c>
      <c r="N259" t="s">
        <v>15</v>
      </c>
    </row>
    <row r="260" spans="1:14" x14ac:dyDescent="0.3">
      <c r="A260">
        <v>14193</v>
      </c>
      <c r="B260" t="s">
        <v>38</v>
      </c>
      <c r="C260" t="s">
        <v>39</v>
      </c>
      <c r="D260">
        <v>100000</v>
      </c>
      <c r="E260">
        <v>3</v>
      </c>
      <c r="F260" t="s">
        <v>19</v>
      </c>
      <c r="G260" t="s">
        <v>28</v>
      </c>
      <c r="H260" t="s">
        <v>15</v>
      </c>
      <c r="I260">
        <v>4</v>
      </c>
      <c r="J260" t="s">
        <v>47</v>
      </c>
      <c r="K260" t="s">
        <v>17</v>
      </c>
      <c r="L260">
        <v>56</v>
      </c>
      <c r="M260" t="str">
        <f t="shared" si="4"/>
        <v>Adolescent</v>
      </c>
      <c r="N260" t="s">
        <v>18</v>
      </c>
    </row>
    <row r="261" spans="1:14" x14ac:dyDescent="0.3">
      <c r="A261">
        <v>12705</v>
      </c>
      <c r="B261" t="s">
        <v>36</v>
      </c>
      <c r="C261" t="s">
        <v>40</v>
      </c>
      <c r="D261">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v>30000</v>
      </c>
      <c r="E262">
        <v>2</v>
      </c>
      <c r="F262" t="s">
        <v>19</v>
      </c>
      <c r="G262" t="s">
        <v>20</v>
      </c>
      <c r="H262" t="s">
        <v>15</v>
      </c>
      <c r="I262">
        <v>0</v>
      </c>
      <c r="J262" t="s">
        <v>16</v>
      </c>
      <c r="K262" t="s">
        <v>17</v>
      </c>
      <c r="L262">
        <v>43</v>
      </c>
      <c r="M262" t="str">
        <f t="shared" si="4"/>
        <v>Adolescent</v>
      </c>
      <c r="N262" t="s">
        <v>18</v>
      </c>
    </row>
    <row r="263" spans="1:14" x14ac:dyDescent="0.3">
      <c r="A263">
        <v>26219</v>
      </c>
      <c r="B263" t="s">
        <v>36</v>
      </c>
      <c r="C263" t="s">
        <v>39</v>
      </c>
      <c r="D26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40</v>
      </c>
      <c r="D266">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v>20000</v>
      </c>
      <c r="E268">
        <v>5</v>
      </c>
      <c r="F268" t="s">
        <v>27</v>
      </c>
      <c r="G268" t="s">
        <v>25</v>
      </c>
      <c r="H268" t="s">
        <v>15</v>
      </c>
      <c r="I268">
        <v>2</v>
      </c>
      <c r="J268" t="s">
        <v>16</v>
      </c>
      <c r="K268" t="s">
        <v>17</v>
      </c>
      <c r="L268">
        <v>27</v>
      </c>
      <c r="M268" t="str">
        <f t="shared" si="4"/>
        <v>Middle Age</v>
      </c>
      <c r="N268" t="s">
        <v>18</v>
      </c>
    </row>
    <row r="269" spans="1:14" x14ac:dyDescent="0.3">
      <c r="A269">
        <v>13133</v>
      </c>
      <c r="B269" t="s">
        <v>38</v>
      </c>
      <c r="C269" t="s">
        <v>40</v>
      </c>
      <c r="D269">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40</v>
      </c>
      <c r="D270">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v>20000</v>
      </c>
      <c r="E273">
        <v>0</v>
      </c>
      <c r="F273" t="s">
        <v>27</v>
      </c>
      <c r="G273" t="s">
        <v>25</v>
      </c>
      <c r="H273" t="s">
        <v>18</v>
      </c>
      <c r="I273">
        <v>1</v>
      </c>
      <c r="J273" t="s">
        <v>26</v>
      </c>
      <c r="K273" t="s">
        <v>17</v>
      </c>
      <c r="L273">
        <v>28</v>
      </c>
      <c r="M273" t="str">
        <f t="shared" si="4"/>
        <v>Middle Age</v>
      </c>
      <c r="N273" t="s">
        <v>18</v>
      </c>
    </row>
    <row r="274" spans="1:14" x14ac:dyDescent="0.3">
      <c r="A274">
        <v>24061</v>
      </c>
      <c r="B274" t="s">
        <v>36</v>
      </c>
      <c r="C274" t="s">
        <v>40</v>
      </c>
      <c r="D274">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39</v>
      </c>
      <c r="D276">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40</v>
      </c>
      <c r="D280">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40</v>
      </c>
      <c r="D281">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40</v>
      </c>
      <c r="D28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40</v>
      </c>
      <c r="D28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40</v>
      </c>
      <c r="D286">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v>100000</v>
      </c>
      <c r="E288">
        <v>1</v>
      </c>
      <c r="F288" t="s">
        <v>13</v>
      </c>
      <c r="G288" t="s">
        <v>28</v>
      </c>
      <c r="H288" t="s">
        <v>15</v>
      </c>
      <c r="I288">
        <v>4</v>
      </c>
      <c r="J288" t="s">
        <v>22</v>
      </c>
      <c r="K288" t="s">
        <v>24</v>
      </c>
      <c r="L288">
        <v>48</v>
      </c>
      <c r="M288" t="str">
        <f t="shared" si="4"/>
        <v>Old</v>
      </c>
      <c r="N288" t="s">
        <v>18</v>
      </c>
    </row>
    <row r="289" spans="1:14" x14ac:dyDescent="0.3">
      <c r="A289">
        <v>24187</v>
      </c>
      <c r="B289" t="s">
        <v>38</v>
      </c>
      <c r="C289" t="s">
        <v>39</v>
      </c>
      <c r="D289">
        <v>30000</v>
      </c>
      <c r="E289">
        <v>3</v>
      </c>
      <c r="F289" t="s">
        <v>31</v>
      </c>
      <c r="G289" t="s">
        <v>20</v>
      </c>
      <c r="H289" t="s">
        <v>18</v>
      </c>
      <c r="I289">
        <v>0</v>
      </c>
      <c r="J289" t="s">
        <v>16</v>
      </c>
      <c r="K289" t="s">
        <v>17</v>
      </c>
      <c r="L289">
        <v>46</v>
      </c>
      <c r="M289" t="str">
        <f t="shared" si="4"/>
        <v>Old</v>
      </c>
      <c r="N289" t="s">
        <v>15</v>
      </c>
    </row>
    <row r="290" spans="1:14" x14ac:dyDescent="0.3">
      <c r="A290">
        <v>15758</v>
      </c>
      <c r="B290" t="s">
        <v>36</v>
      </c>
      <c r="C290" t="s">
        <v>40</v>
      </c>
      <c r="D290">
        <v>130000</v>
      </c>
      <c r="E290">
        <v>0</v>
      </c>
      <c r="F290" t="s">
        <v>31</v>
      </c>
      <c r="G290" t="s">
        <v>28</v>
      </c>
      <c r="H290" t="s">
        <v>15</v>
      </c>
      <c r="I290">
        <v>0</v>
      </c>
      <c r="J290" t="s">
        <v>23</v>
      </c>
      <c r="K290" t="s">
        <v>24</v>
      </c>
      <c r="L290">
        <v>48</v>
      </c>
      <c r="M290" t="str">
        <f t="shared" si="4"/>
        <v>Adolescent</v>
      </c>
      <c r="N290" t="s">
        <v>18</v>
      </c>
    </row>
    <row r="291" spans="1:14" x14ac:dyDescent="0.3">
      <c r="A291">
        <v>29094</v>
      </c>
      <c r="B291" t="s">
        <v>36</v>
      </c>
      <c r="C291" t="s">
        <v>40</v>
      </c>
      <c r="D291">
        <v>30000</v>
      </c>
      <c r="E291">
        <v>3</v>
      </c>
      <c r="F291" t="s">
        <v>27</v>
      </c>
      <c r="G291" t="s">
        <v>14</v>
      </c>
      <c r="H291" t="s">
        <v>15</v>
      </c>
      <c r="I291">
        <v>2</v>
      </c>
      <c r="J291" t="s">
        <v>23</v>
      </c>
      <c r="K291" t="s">
        <v>24</v>
      </c>
      <c r="L291">
        <v>54</v>
      </c>
      <c r="M291" t="str">
        <f t="shared" si="4"/>
        <v>Old</v>
      </c>
      <c r="N291" t="s">
        <v>15</v>
      </c>
    </row>
    <row r="292" spans="1:14" x14ac:dyDescent="0.3">
      <c r="A292">
        <v>28319</v>
      </c>
      <c r="B292" t="s">
        <v>38</v>
      </c>
      <c r="C292" t="s">
        <v>39</v>
      </c>
      <c r="D292">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40</v>
      </c>
      <c r="D29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v>40000</v>
      </c>
      <c r="E294">
        <v>1</v>
      </c>
      <c r="F294" t="s">
        <v>13</v>
      </c>
      <c r="G294" t="s">
        <v>14</v>
      </c>
      <c r="H294" t="s">
        <v>15</v>
      </c>
      <c r="I294">
        <v>0</v>
      </c>
      <c r="J294" t="s">
        <v>16</v>
      </c>
      <c r="K294" t="s">
        <v>17</v>
      </c>
      <c r="L294">
        <v>42</v>
      </c>
      <c r="M294" t="str">
        <f t="shared" si="4"/>
        <v>Old</v>
      </c>
      <c r="N294" t="s">
        <v>15</v>
      </c>
    </row>
    <row r="295" spans="1:14" x14ac:dyDescent="0.3">
      <c r="A295">
        <v>11378</v>
      </c>
      <c r="B295" t="s">
        <v>38</v>
      </c>
      <c r="C295" t="s">
        <v>39</v>
      </c>
      <c r="D295">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40</v>
      </c>
      <c r="D296">
        <v>20000</v>
      </c>
      <c r="E296">
        <v>0</v>
      </c>
      <c r="F296" t="s">
        <v>19</v>
      </c>
      <c r="G296" t="s">
        <v>25</v>
      </c>
      <c r="H296" t="s">
        <v>18</v>
      </c>
      <c r="I296">
        <v>1</v>
      </c>
      <c r="J296" t="s">
        <v>22</v>
      </c>
      <c r="K296" t="s">
        <v>17</v>
      </c>
      <c r="L296">
        <v>36</v>
      </c>
      <c r="M296" t="str">
        <f t="shared" si="4"/>
        <v>Old</v>
      </c>
      <c r="N296" t="s">
        <v>15</v>
      </c>
    </row>
    <row r="297" spans="1:14" x14ac:dyDescent="0.3">
      <c r="A297">
        <v>21557</v>
      </c>
      <c r="B297" t="s">
        <v>38</v>
      </c>
      <c r="C297" t="s">
        <v>39</v>
      </c>
      <c r="D297">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39</v>
      </c>
      <c r="D298">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40</v>
      </c>
      <c r="D299">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v>10000</v>
      </c>
      <c r="E302">
        <v>5</v>
      </c>
      <c r="F302" t="s">
        <v>27</v>
      </c>
      <c r="G302" t="s">
        <v>14</v>
      </c>
      <c r="H302" t="s">
        <v>18</v>
      </c>
      <c r="I302">
        <v>2</v>
      </c>
      <c r="J302" t="s">
        <v>26</v>
      </c>
      <c r="K302" t="s">
        <v>24</v>
      </c>
      <c r="L302">
        <v>62</v>
      </c>
      <c r="M302" t="str">
        <f t="shared" si="4"/>
        <v>Middle Age</v>
      </c>
      <c r="N302" t="s">
        <v>18</v>
      </c>
    </row>
    <row r="303" spans="1:14" x14ac:dyDescent="0.3">
      <c r="A303">
        <v>17926</v>
      </c>
      <c r="B303" t="s">
        <v>38</v>
      </c>
      <c r="C303" t="s">
        <v>39</v>
      </c>
      <c r="D303">
        <v>40000</v>
      </c>
      <c r="E303">
        <v>0</v>
      </c>
      <c r="F303" t="s">
        <v>13</v>
      </c>
      <c r="G303" t="s">
        <v>20</v>
      </c>
      <c r="H303" t="s">
        <v>18</v>
      </c>
      <c r="I303">
        <v>0</v>
      </c>
      <c r="J303" t="s">
        <v>16</v>
      </c>
      <c r="K303" t="s">
        <v>24</v>
      </c>
      <c r="L303">
        <v>28</v>
      </c>
      <c r="M303" t="str">
        <f t="shared" si="4"/>
        <v>Middle Age</v>
      </c>
      <c r="N303" t="s">
        <v>15</v>
      </c>
    </row>
    <row r="304" spans="1:14" x14ac:dyDescent="0.3">
      <c r="A304">
        <v>26928</v>
      </c>
      <c r="B304" t="s">
        <v>38</v>
      </c>
      <c r="C304" t="s">
        <v>40</v>
      </c>
      <c r="D304">
        <v>30000</v>
      </c>
      <c r="E304">
        <v>1</v>
      </c>
      <c r="F304" t="s">
        <v>13</v>
      </c>
      <c r="G304" t="s">
        <v>20</v>
      </c>
      <c r="H304" t="s">
        <v>15</v>
      </c>
      <c r="I304">
        <v>0</v>
      </c>
      <c r="J304" t="s">
        <v>16</v>
      </c>
      <c r="K304" t="s">
        <v>17</v>
      </c>
      <c r="L304">
        <v>62</v>
      </c>
      <c r="M304" t="str">
        <f t="shared" si="4"/>
        <v>Middle Age</v>
      </c>
      <c r="N304" t="s">
        <v>15</v>
      </c>
    </row>
    <row r="305" spans="1:14" x14ac:dyDescent="0.3">
      <c r="A305">
        <v>20897</v>
      </c>
      <c r="B305" t="s">
        <v>36</v>
      </c>
      <c r="C305" t="s">
        <v>39</v>
      </c>
      <c r="D305">
        <v>30000</v>
      </c>
      <c r="E305">
        <v>1</v>
      </c>
      <c r="F305" t="s">
        <v>13</v>
      </c>
      <c r="G305" t="s">
        <v>14</v>
      </c>
      <c r="H305" t="s">
        <v>15</v>
      </c>
      <c r="I305">
        <v>2</v>
      </c>
      <c r="J305" t="s">
        <v>16</v>
      </c>
      <c r="K305" t="s">
        <v>17</v>
      </c>
      <c r="L305">
        <v>40</v>
      </c>
      <c r="M305" t="str">
        <f t="shared" si="4"/>
        <v>Old</v>
      </c>
      <c r="N305" t="s">
        <v>18</v>
      </c>
    </row>
    <row r="306" spans="1:14" x14ac:dyDescent="0.3">
      <c r="A306">
        <v>28207</v>
      </c>
      <c r="B306" t="s">
        <v>36</v>
      </c>
      <c r="C306" t="s">
        <v>40</v>
      </c>
      <c r="D306">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40</v>
      </c>
      <c r="D307">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40</v>
      </c>
      <c r="D308">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40</v>
      </c>
      <c r="D309">
        <v>10000</v>
      </c>
      <c r="E309">
        <v>2</v>
      </c>
      <c r="F309" t="s">
        <v>13</v>
      </c>
      <c r="G309" t="s">
        <v>20</v>
      </c>
      <c r="H309" t="s">
        <v>15</v>
      </c>
      <c r="I309">
        <v>1</v>
      </c>
      <c r="J309" t="s">
        <v>16</v>
      </c>
      <c r="K309" t="s">
        <v>17</v>
      </c>
      <c r="L309">
        <v>66</v>
      </c>
      <c r="M309" t="str">
        <f t="shared" si="4"/>
        <v>Middle Age</v>
      </c>
      <c r="N309" t="s">
        <v>18</v>
      </c>
    </row>
    <row r="310" spans="1:14" x14ac:dyDescent="0.3">
      <c r="A310">
        <v>28758</v>
      </c>
      <c r="B310" t="s">
        <v>36</v>
      </c>
      <c r="C310" t="s">
        <v>40</v>
      </c>
      <c r="D310">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40</v>
      </c>
      <c r="D312">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40</v>
      </c>
      <c r="D31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40</v>
      </c>
      <c r="D314">
        <v>20000</v>
      </c>
      <c r="E314">
        <v>4</v>
      </c>
      <c r="F314" t="s">
        <v>27</v>
      </c>
      <c r="G314" t="s">
        <v>14</v>
      </c>
      <c r="H314" t="s">
        <v>15</v>
      </c>
      <c r="I314">
        <v>2</v>
      </c>
      <c r="J314" t="s">
        <v>23</v>
      </c>
      <c r="K314" t="s">
        <v>24</v>
      </c>
      <c r="L314">
        <v>58</v>
      </c>
      <c r="M314" t="str">
        <f t="shared" si="4"/>
        <v>Middle Age</v>
      </c>
      <c r="N314" t="s">
        <v>15</v>
      </c>
    </row>
    <row r="315" spans="1:14" x14ac:dyDescent="0.3">
      <c r="A315">
        <v>23105</v>
      </c>
      <c r="B315" t="s">
        <v>38</v>
      </c>
      <c r="C315" t="s">
        <v>40</v>
      </c>
      <c r="D315">
        <v>40000</v>
      </c>
      <c r="E315">
        <v>3</v>
      </c>
      <c r="F315" t="s">
        <v>29</v>
      </c>
      <c r="G315" t="s">
        <v>20</v>
      </c>
      <c r="H315" t="s">
        <v>18</v>
      </c>
      <c r="I315">
        <v>2</v>
      </c>
      <c r="J315" t="s">
        <v>23</v>
      </c>
      <c r="K315" t="s">
        <v>24</v>
      </c>
      <c r="L315">
        <v>52</v>
      </c>
      <c r="M315" t="str">
        <f t="shared" si="4"/>
        <v>Adolescent</v>
      </c>
      <c r="N315" t="s">
        <v>15</v>
      </c>
    </row>
    <row r="316" spans="1:14" x14ac:dyDescent="0.3">
      <c r="A316">
        <v>18740</v>
      </c>
      <c r="B316" t="s">
        <v>36</v>
      </c>
      <c r="C316" t="s">
        <v>40</v>
      </c>
      <c r="D316">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40</v>
      </c>
      <c r="D317">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40</v>
      </c>
      <c r="D318">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40</v>
      </c>
      <c r="D319">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40</v>
      </c>
      <c r="D320">
        <v>130000</v>
      </c>
      <c r="E320">
        <v>4</v>
      </c>
      <c r="F320" t="s">
        <v>19</v>
      </c>
      <c r="G320" t="s">
        <v>21</v>
      </c>
      <c r="H320" t="s">
        <v>18</v>
      </c>
      <c r="I320">
        <v>3</v>
      </c>
      <c r="J320" t="s">
        <v>47</v>
      </c>
      <c r="K320" t="s">
        <v>17</v>
      </c>
      <c r="L320">
        <v>54</v>
      </c>
      <c r="M320" t="str">
        <f t="shared" si="4"/>
        <v>Adolescent</v>
      </c>
      <c r="N320" t="s">
        <v>18</v>
      </c>
    </row>
    <row r="321" spans="1:14" x14ac:dyDescent="0.3">
      <c r="A321">
        <v>11386</v>
      </c>
      <c r="B321" t="s">
        <v>36</v>
      </c>
      <c r="C321" t="s">
        <v>39</v>
      </c>
      <c r="D32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40</v>
      </c>
      <c r="D322">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v>160000</v>
      </c>
      <c r="E323">
        <v>0</v>
      </c>
      <c r="F323" t="s">
        <v>31</v>
      </c>
      <c r="G323" t="s">
        <v>28</v>
      </c>
      <c r="H323" t="s">
        <v>18</v>
      </c>
      <c r="I323">
        <v>3</v>
      </c>
      <c r="J323" t="s">
        <v>16</v>
      </c>
      <c r="K323" t="s">
        <v>24</v>
      </c>
      <c r="L323">
        <v>47</v>
      </c>
      <c r="M323" t="str">
        <f t="shared" ref="M323:M386" si="5">IF(L336&gt;54, "Old", IF(L336&gt;=31, "Middle Age", IF(L336&lt;31, "Adolescent", "Invalid")))</f>
        <v>Middle Age</v>
      </c>
      <c r="N323" t="s">
        <v>15</v>
      </c>
    </row>
    <row r="324" spans="1:14" x14ac:dyDescent="0.3">
      <c r="A324">
        <v>16410</v>
      </c>
      <c r="B324" t="s">
        <v>38</v>
      </c>
      <c r="C324" t="s">
        <v>39</v>
      </c>
      <c r="D324">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40</v>
      </c>
      <c r="D326">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40</v>
      </c>
      <c r="D327">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v>20000</v>
      </c>
      <c r="E328">
        <v>0</v>
      </c>
      <c r="F328" t="s">
        <v>13</v>
      </c>
      <c r="G328" t="s">
        <v>20</v>
      </c>
      <c r="H328" t="s">
        <v>18</v>
      </c>
      <c r="I328">
        <v>0</v>
      </c>
      <c r="J328" t="s">
        <v>16</v>
      </c>
      <c r="K328" t="s">
        <v>24</v>
      </c>
      <c r="L328">
        <v>26</v>
      </c>
      <c r="M328" t="str">
        <f t="shared" si="5"/>
        <v>Old</v>
      </c>
      <c r="N328" t="s">
        <v>15</v>
      </c>
    </row>
    <row r="329" spans="1:14" x14ac:dyDescent="0.3">
      <c r="A329">
        <v>28379</v>
      </c>
      <c r="B329" t="s">
        <v>36</v>
      </c>
      <c r="C329" t="s">
        <v>40</v>
      </c>
      <c r="D329">
        <v>30000</v>
      </c>
      <c r="E329">
        <v>1</v>
      </c>
      <c r="F329" t="s">
        <v>13</v>
      </c>
      <c r="G329" t="s">
        <v>14</v>
      </c>
      <c r="H329" t="s">
        <v>15</v>
      </c>
      <c r="I329">
        <v>2</v>
      </c>
      <c r="J329" t="s">
        <v>16</v>
      </c>
      <c r="K329" t="s">
        <v>17</v>
      </c>
      <c r="L329">
        <v>40</v>
      </c>
      <c r="M329" t="str">
        <f t="shared" si="5"/>
        <v>Adolescent</v>
      </c>
      <c r="N329" t="s">
        <v>18</v>
      </c>
    </row>
    <row r="330" spans="1:14" x14ac:dyDescent="0.3">
      <c r="A330">
        <v>14865</v>
      </c>
      <c r="B330" t="s">
        <v>38</v>
      </c>
      <c r="C330" t="s">
        <v>40</v>
      </c>
      <c r="D330">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v>90000</v>
      </c>
      <c r="E331">
        <v>5</v>
      </c>
      <c r="F331" t="s">
        <v>29</v>
      </c>
      <c r="G331" t="s">
        <v>14</v>
      </c>
      <c r="H331" t="s">
        <v>15</v>
      </c>
      <c r="I331">
        <v>2</v>
      </c>
      <c r="J331" t="s">
        <v>47</v>
      </c>
      <c r="K331" t="s">
        <v>17</v>
      </c>
      <c r="L331">
        <v>59</v>
      </c>
      <c r="M331" t="str">
        <f t="shared" si="5"/>
        <v>Middle Age</v>
      </c>
      <c r="N331" t="s">
        <v>18</v>
      </c>
    </row>
    <row r="332" spans="1:14" x14ac:dyDescent="0.3">
      <c r="A332">
        <v>24898</v>
      </c>
      <c r="B332" t="s">
        <v>38</v>
      </c>
      <c r="C332" t="s">
        <v>39</v>
      </c>
      <c r="D332">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40</v>
      </c>
      <c r="D333">
        <v>10000</v>
      </c>
      <c r="E333">
        <v>0</v>
      </c>
      <c r="F333" t="s">
        <v>29</v>
      </c>
      <c r="G333" t="s">
        <v>25</v>
      </c>
      <c r="H333" t="s">
        <v>18</v>
      </c>
      <c r="I333">
        <v>2</v>
      </c>
      <c r="J333" t="s">
        <v>16</v>
      </c>
      <c r="K333" t="s">
        <v>17</v>
      </c>
      <c r="L333">
        <v>30</v>
      </c>
      <c r="M333" t="str">
        <f t="shared" si="5"/>
        <v>Middle Age</v>
      </c>
      <c r="N333" t="s">
        <v>18</v>
      </c>
    </row>
    <row r="334" spans="1:14" x14ac:dyDescent="0.3">
      <c r="A334">
        <v>11489</v>
      </c>
      <c r="B334" t="s">
        <v>38</v>
      </c>
      <c r="C334" t="s">
        <v>39</v>
      </c>
      <c r="D33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40</v>
      </c>
      <c r="D33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40</v>
      </c>
      <c r="D336">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40</v>
      </c>
      <c r="D337">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40</v>
      </c>
      <c r="D338">
        <v>20000</v>
      </c>
      <c r="E338">
        <v>0</v>
      </c>
      <c r="F338" t="s">
        <v>29</v>
      </c>
      <c r="G338" t="s">
        <v>25</v>
      </c>
      <c r="H338" t="s">
        <v>18</v>
      </c>
      <c r="I338">
        <v>2</v>
      </c>
      <c r="J338" t="s">
        <v>16</v>
      </c>
      <c r="K338" t="s">
        <v>17</v>
      </c>
      <c r="L338">
        <v>34</v>
      </c>
      <c r="M338" t="str">
        <f t="shared" si="5"/>
        <v>Adolescent</v>
      </c>
      <c r="N338" t="s">
        <v>18</v>
      </c>
    </row>
    <row r="339" spans="1:14" x14ac:dyDescent="0.3">
      <c r="A339">
        <v>29424</v>
      </c>
      <c r="B339" t="s">
        <v>36</v>
      </c>
      <c r="C339" t="s">
        <v>40</v>
      </c>
      <c r="D339">
        <v>10000</v>
      </c>
      <c r="E339">
        <v>0</v>
      </c>
      <c r="F339" t="s">
        <v>29</v>
      </c>
      <c r="G339" t="s">
        <v>25</v>
      </c>
      <c r="H339" t="s">
        <v>15</v>
      </c>
      <c r="I339">
        <v>2</v>
      </c>
      <c r="J339" t="s">
        <v>16</v>
      </c>
      <c r="K339" t="s">
        <v>17</v>
      </c>
      <c r="L339">
        <v>32</v>
      </c>
      <c r="M339" t="str">
        <f t="shared" si="5"/>
        <v>Adolescent</v>
      </c>
      <c r="N339" t="s">
        <v>18</v>
      </c>
    </row>
    <row r="340" spans="1:14" x14ac:dyDescent="0.3">
      <c r="A340">
        <v>15926</v>
      </c>
      <c r="B340" t="s">
        <v>38</v>
      </c>
      <c r="C340" t="s">
        <v>39</v>
      </c>
      <c r="D340">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40</v>
      </c>
      <c r="D341">
        <v>20000</v>
      </c>
      <c r="E341">
        <v>1</v>
      </c>
      <c r="F341" t="s">
        <v>13</v>
      </c>
      <c r="G341" t="s">
        <v>20</v>
      </c>
      <c r="H341" t="s">
        <v>15</v>
      </c>
      <c r="I341">
        <v>0</v>
      </c>
      <c r="J341" t="s">
        <v>16</v>
      </c>
      <c r="K341" t="s">
        <v>17</v>
      </c>
      <c r="L341">
        <v>66</v>
      </c>
      <c r="M341" t="str">
        <f t="shared" si="5"/>
        <v>Middle Age</v>
      </c>
      <c r="N341" t="s">
        <v>18</v>
      </c>
    </row>
    <row r="342" spans="1:14" x14ac:dyDescent="0.3">
      <c r="A342">
        <v>16468</v>
      </c>
      <c r="B342" t="s">
        <v>38</v>
      </c>
      <c r="C342" t="s">
        <v>40</v>
      </c>
      <c r="D342">
        <v>30000</v>
      </c>
      <c r="E342">
        <v>0</v>
      </c>
      <c r="F342" t="s">
        <v>19</v>
      </c>
      <c r="G342" t="s">
        <v>20</v>
      </c>
      <c r="H342" t="s">
        <v>15</v>
      </c>
      <c r="I342">
        <v>1</v>
      </c>
      <c r="J342" t="s">
        <v>22</v>
      </c>
      <c r="K342" t="s">
        <v>17</v>
      </c>
      <c r="L342">
        <v>30</v>
      </c>
      <c r="M342" t="str">
        <f t="shared" si="5"/>
        <v>Middle Age</v>
      </c>
      <c r="N342" t="s">
        <v>18</v>
      </c>
    </row>
    <row r="343" spans="1:14" x14ac:dyDescent="0.3">
      <c r="A343">
        <v>19174</v>
      </c>
      <c r="B343" t="s">
        <v>38</v>
      </c>
      <c r="C343" t="s">
        <v>39</v>
      </c>
      <c r="D34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40</v>
      </c>
      <c r="D344">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40</v>
      </c>
      <c r="D346">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40</v>
      </c>
      <c r="D348">
        <v>40000</v>
      </c>
      <c r="E348">
        <v>1</v>
      </c>
      <c r="F348" t="s">
        <v>13</v>
      </c>
      <c r="G348" t="s">
        <v>14</v>
      </c>
      <c r="H348" t="s">
        <v>18</v>
      </c>
      <c r="I348">
        <v>0</v>
      </c>
      <c r="J348" t="s">
        <v>16</v>
      </c>
      <c r="K348" t="s">
        <v>17</v>
      </c>
      <c r="L348">
        <v>43</v>
      </c>
      <c r="M348" t="str">
        <f t="shared" si="5"/>
        <v>Adolescent</v>
      </c>
      <c r="N348" t="s">
        <v>15</v>
      </c>
    </row>
    <row r="349" spans="1:14" x14ac:dyDescent="0.3">
      <c r="A349">
        <v>22936</v>
      </c>
      <c r="B349" t="s">
        <v>38</v>
      </c>
      <c r="C349" t="s">
        <v>39</v>
      </c>
      <c r="D349">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40</v>
      </c>
      <c r="D350">
        <v>20000</v>
      </c>
      <c r="E350">
        <v>2</v>
      </c>
      <c r="F350" t="s">
        <v>27</v>
      </c>
      <c r="G350" t="s">
        <v>25</v>
      </c>
      <c r="H350" t="s">
        <v>15</v>
      </c>
      <c r="I350">
        <v>2</v>
      </c>
      <c r="J350" t="s">
        <v>16</v>
      </c>
      <c r="K350" t="s">
        <v>17</v>
      </c>
      <c r="L350">
        <v>42</v>
      </c>
      <c r="M350" t="str">
        <f t="shared" si="5"/>
        <v>Adolescent</v>
      </c>
      <c r="N350" t="s">
        <v>18</v>
      </c>
    </row>
    <row r="351" spans="1:14" x14ac:dyDescent="0.3">
      <c r="A351">
        <v>24121</v>
      </c>
      <c r="B351" t="s">
        <v>38</v>
      </c>
      <c r="C351" t="s">
        <v>39</v>
      </c>
      <c r="D351">
        <v>30000</v>
      </c>
      <c r="E351">
        <v>0</v>
      </c>
      <c r="F351" t="s">
        <v>19</v>
      </c>
      <c r="G351" t="s">
        <v>20</v>
      </c>
      <c r="H351" t="s">
        <v>18</v>
      </c>
      <c r="I351">
        <v>1</v>
      </c>
      <c r="J351" t="s">
        <v>16</v>
      </c>
      <c r="K351" t="s">
        <v>17</v>
      </c>
      <c r="L351">
        <v>29</v>
      </c>
      <c r="M351" t="str">
        <f t="shared" si="5"/>
        <v>Middle Age</v>
      </c>
      <c r="N351" t="s">
        <v>15</v>
      </c>
    </row>
    <row r="352" spans="1:14" x14ac:dyDescent="0.3">
      <c r="A352">
        <v>27878</v>
      </c>
      <c r="B352" t="s">
        <v>38</v>
      </c>
      <c r="C352" t="s">
        <v>40</v>
      </c>
      <c r="D352">
        <v>20000</v>
      </c>
      <c r="E352">
        <v>0</v>
      </c>
      <c r="F352" t="s">
        <v>19</v>
      </c>
      <c r="G352" t="s">
        <v>25</v>
      </c>
      <c r="H352" t="s">
        <v>18</v>
      </c>
      <c r="I352">
        <v>0</v>
      </c>
      <c r="J352" t="s">
        <v>16</v>
      </c>
      <c r="K352" t="s">
        <v>24</v>
      </c>
      <c r="L352">
        <v>28</v>
      </c>
      <c r="M352" t="str">
        <f t="shared" si="5"/>
        <v>Old</v>
      </c>
      <c r="N352" t="s">
        <v>15</v>
      </c>
    </row>
    <row r="353" spans="1:14" x14ac:dyDescent="0.3">
      <c r="A353">
        <v>13572</v>
      </c>
      <c r="B353" t="s">
        <v>38</v>
      </c>
      <c r="C353" t="s">
        <v>40</v>
      </c>
      <c r="D35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40</v>
      </c>
      <c r="D355">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40</v>
      </c>
      <c r="D356">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40</v>
      </c>
      <c r="D357">
        <v>80000</v>
      </c>
      <c r="E357">
        <v>0</v>
      </c>
      <c r="F357" t="s">
        <v>13</v>
      </c>
      <c r="G357" t="s">
        <v>21</v>
      </c>
      <c r="H357" t="s">
        <v>15</v>
      </c>
      <c r="I357">
        <v>3</v>
      </c>
      <c r="J357" t="s">
        <v>47</v>
      </c>
      <c r="K357" t="s">
        <v>24</v>
      </c>
      <c r="L357">
        <v>32</v>
      </c>
      <c r="M357" t="str">
        <f t="shared" si="5"/>
        <v>Old</v>
      </c>
      <c r="N357" t="s">
        <v>18</v>
      </c>
    </row>
    <row r="358" spans="1:14" x14ac:dyDescent="0.3">
      <c r="A358">
        <v>23608</v>
      </c>
      <c r="B358" t="s">
        <v>36</v>
      </c>
      <c r="C358" t="s">
        <v>39</v>
      </c>
      <c r="D358">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40</v>
      </c>
      <c r="D360">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40</v>
      </c>
      <c r="D361">
        <v>80000</v>
      </c>
      <c r="E361">
        <v>0</v>
      </c>
      <c r="F361" t="s">
        <v>13</v>
      </c>
      <c r="G361" t="s">
        <v>21</v>
      </c>
      <c r="H361" t="s">
        <v>15</v>
      </c>
      <c r="I361">
        <v>3</v>
      </c>
      <c r="J361" t="s">
        <v>47</v>
      </c>
      <c r="K361" t="s">
        <v>24</v>
      </c>
      <c r="L361">
        <v>30</v>
      </c>
      <c r="M361" t="str">
        <f t="shared" si="5"/>
        <v>Middle Age</v>
      </c>
      <c r="N361" t="s">
        <v>18</v>
      </c>
    </row>
    <row r="362" spans="1:14" x14ac:dyDescent="0.3">
      <c r="A362">
        <v>13082</v>
      </c>
      <c r="B362" t="s">
        <v>38</v>
      </c>
      <c r="C362" t="s">
        <v>40</v>
      </c>
      <c r="D362">
        <v>130000</v>
      </c>
      <c r="E362">
        <v>0</v>
      </c>
      <c r="F362" t="s">
        <v>31</v>
      </c>
      <c r="G362" t="s">
        <v>28</v>
      </c>
      <c r="H362" t="s">
        <v>15</v>
      </c>
      <c r="I362">
        <v>0</v>
      </c>
      <c r="J362" t="s">
        <v>22</v>
      </c>
      <c r="K362" t="s">
        <v>24</v>
      </c>
      <c r="L362">
        <v>48</v>
      </c>
      <c r="M362" t="str">
        <f t="shared" si="5"/>
        <v>Adolescent</v>
      </c>
      <c r="N362" t="s">
        <v>15</v>
      </c>
    </row>
    <row r="363" spans="1:14" x14ac:dyDescent="0.3">
      <c r="A363">
        <v>22518</v>
      </c>
      <c r="B363" t="s">
        <v>38</v>
      </c>
      <c r="C363" t="s">
        <v>39</v>
      </c>
      <c r="D363">
        <v>30000</v>
      </c>
      <c r="E363">
        <v>3</v>
      </c>
      <c r="F363" t="s">
        <v>19</v>
      </c>
      <c r="G363" t="s">
        <v>20</v>
      </c>
      <c r="H363" t="s">
        <v>18</v>
      </c>
      <c r="I363">
        <v>2</v>
      </c>
      <c r="J363" t="s">
        <v>16</v>
      </c>
      <c r="K363" t="s">
        <v>17</v>
      </c>
      <c r="L363">
        <v>27</v>
      </c>
      <c r="M363" t="str">
        <f t="shared" si="5"/>
        <v>Middle Age</v>
      </c>
      <c r="N363" t="s">
        <v>15</v>
      </c>
    </row>
    <row r="364" spans="1:14" x14ac:dyDescent="0.3">
      <c r="A364">
        <v>13687</v>
      </c>
      <c r="B364" t="s">
        <v>36</v>
      </c>
      <c r="C364" t="s">
        <v>40</v>
      </c>
      <c r="D364">
        <v>40000</v>
      </c>
      <c r="E364">
        <v>1</v>
      </c>
      <c r="F364" t="s">
        <v>13</v>
      </c>
      <c r="G364" t="s">
        <v>14</v>
      </c>
      <c r="H364" t="s">
        <v>15</v>
      </c>
      <c r="I364">
        <v>1</v>
      </c>
      <c r="J364" t="s">
        <v>16</v>
      </c>
      <c r="K364" t="s">
        <v>17</v>
      </c>
      <c r="L364">
        <v>33</v>
      </c>
      <c r="M364" t="str">
        <f t="shared" si="5"/>
        <v>Old</v>
      </c>
      <c r="N364" t="s">
        <v>15</v>
      </c>
    </row>
    <row r="365" spans="1:14" x14ac:dyDescent="0.3">
      <c r="A365">
        <v>23571</v>
      </c>
      <c r="B365" t="s">
        <v>36</v>
      </c>
      <c r="C365" t="s">
        <v>39</v>
      </c>
      <c r="D365">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v>40000</v>
      </c>
      <c r="E367">
        <v>0</v>
      </c>
      <c r="F367" t="s">
        <v>13</v>
      </c>
      <c r="G367" t="s">
        <v>20</v>
      </c>
      <c r="H367" t="s">
        <v>18</v>
      </c>
      <c r="I367">
        <v>0</v>
      </c>
      <c r="J367" t="s">
        <v>16</v>
      </c>
      <c r="K367" t="s">
        <v>17</v>
      </c>
      <c r="L367">
        <v>38</v>
      </c>
      <c r="M367" t="str">
        <f t="shared" si="5"/>
        <v>Old</v>
      </c>
      <c r="N367" t="s">
        <v>15</v>
      </c>
    </row>
    <row r="368" spans="1:14" x14ac:dyDescent="0.3">
      <c r="A368">
        <v>17310</v>
      </c>
      <c r="B368" t="s">
        <v>36</v>
      </c>
      <c r="C368" t="s">
        <v>40</v>
      </c>
      <c r="D368">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v>130000</v>
      </c>
      <c r="E369">
        <v>3</v>
      </c>
      <c r="F369" t="s">
        <v>19</v>
      </c>
      <c r="G369" t="s">
        <v>21</v>
      </c>
      <c r="H369" t="s">
        <v>15</v>
      </c>
      <c r="I369">
        <v>3</v>
      </c>
      <c r="J369" t="s">
        <v>23</v>
      </c>
      <c r="K369" t="s">
        <v>17</v>
      </c>
      <c r="L369">
        <v>50</v>
      </c>
      <c r="M369" t="str">
        <f t="shared" si="5"/>
        <v>Adolescent</v>
      </c>
      <c r="N369" t="s">
        <v>15</v>
      </c>
    </row>
    <row r="370" spans="1:14" x14ac:dyDescent="0.3">
      <c r="A370">
        <v>25918</v>
      </c>
      <c r="B370" t="s">
        <v>38</v>
      </c>
      <c r="C370" t="s">
        <v>39</v>
      </c>
      <c r="D370">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40</v>
      </c>
      <c r="D373">
        <v>80000</v>
      </c>
      <c r="E373">
        <v>5</v>
      </c>
      <c r="F373" t="s">
        <v>31</v>
      </c>
      <c r="G373" t="s">
        <v>28</v>
      </c>
      <c r="H373" t="s">
        <v>15</v>
      </c>
      <c r="I373">
        <v>3</v>
      </c>
      <c r="J373" t="s">
        <v>16</v>
      </c>
      <c r="K373" t="s">
        <v>24</v>
      </c>
      <c r="L373">
        <v>50</v>
      </c>
      <c r="M373" t="str">
        <f t="shared" si="5"/>
        <v>Adolescent</v>
      </c>
      <c r="N373" t="s">
        <v>18</v>
      </c>
    </row>
    <row r="374" spans="1:14" x14ac:dyDescent="0.3">
      <c r="A374">
        <v>12510</v>
      </c>
      <c r="B374" t="s">
        <v>36</v>
      </c>
      <c r="C374" t="s">
        <v>40</v>
      </c>
      <c r="D374">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40</v>
      </c>
      <c r="D375">
        <v>20000</v>
      </c>
      <c r="E375">
        <v>0</v>
      </c>
      <c r="F375" t="s">
        <v>27</v>
      </c>
      <c r="G375" t="s">
        <v>25</v>
      </c>
      <c r="H375" t="s">
        <v>18</v>
      </c>
      <c r="I375">
        <v>1</v>
      </c>
      <c r="J375" t="s">
        <v>22</v>
      </c>
      <c r="K375" t="s">
        <v>17</v>
      </c>
      <c r="L375">
        <v>30</v>
      </c>
      <c r="M375" t="str">
        <f t="shared" si="5"/>
        <v>Middle Age</v>
      </c>
      <c r="N375" t="s">
        <v>18</v>
      </c>
    </row>
    <row r="376" spans="1:14" x14ac:dyDescent="0.3">
      <c r="A376">
        <v>16179</v>
      </c>
      <c r="B376" t="s">
        <v>38</v>
      </c>
      <c r="C376" t="s">
        <v>39</v>
      </c>
      <c r="D376">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40</v>
      </c>
      <c r="D378">
        <v>20000</v>
      </c>
      <c r="E378">
        <v>1</v>
      </c>
      <c r="F378" t="s">
        <v>13</v>
      </c>
      <c r="G378" t="s">
        <v>20</v>
      </c>
      <c r="H378" t="s">
        <v>15</v>
      </c>
      <c r="I378">
        <v>0</v>
      </c>
      <c r="J378" t="s">
        <v>16</v>
      </c>
      <c r="K378" t="s">
        <v>17</v>
      </c>
      <c r="L378">
        <v>64</v>
      </c>
      <c r="M378" t="str">
        <f t="shared" si="5"/>
        <v>Middle Age</v>
      </c>
      <c r="N378" t="s">
        <v>15</v>
      </c>
    </row>
    <row r="379" spans="1:14" x14ac:dyDescent="0.3">
      <c r="A379">
        <v>18140</v>
      </c>
      <c r="B379" t="s">
        <v>36</v>
      </c>
      <c r="C379" t="s">
        <v>40</v>
      </c>
      <c r="D379">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40</v>
      </c>
      <c r="D380">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40</v>
      </c>
      <c r="D381">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40</v>
      </c>
      <c r="D382">
        <v>70000</v>
      </c>
      <c r="E382">
        <v>0</v>
      </c>
      <c r="F382" t="s">
        <v>13</v>
      </c>
      <c r="G382" t="s">
        <v>21</v>
      </c>
      <c r="H382" t="s">
        <v>18</v>
      </c>
      <c r="I382">
        <v>3</v>
      </c>
      <c r="J382" t="s">
        <v>47</v>
      </c>
      <c r="K382" t="s">
        <v>24</v>
      </c>
      <c r="L382">
        <v>30</v>
      </c>
      <c r="M382" t="str">
        <f t="shared" si="5"/>
        <v>Middle Age</v>
      </c>
      <c r="N382" t="s">
        <v>15</v>
      </c>
    </row>
    <row r="383" spans="1:14" x14ac:dyDescent="0.3">
      <c r="A383">
        <v>22974</v>
      </c>
      <c r="B383" t="s">
        <v>36</v>
      </c>
      <c r="C383" t="s">
        <v>39</v>
      </c>
      <c r="D383">
        <v>30000</v>
      </c>
      <c r="E383">
        <v>2</v>
      </c>
      <c r="F383" t="s">
        <v>19</v>
      </c>
      <c r="G383" t="s">
        <v>20</v>
      </c>
      <c r="H383" t="s">
        <v>15</v>
      </c>
      <c r="I383">
        <v>2</v>
      </c>
      <c r="J383" t="s">
        <v>23</v>
      </c>
      <c r="K383" t="s">
        <v>24</v>
      </c>
      <c r="L383">
        <v>69</v>
      </c>
      <c r="M383" t="str">
        <f t="shared" si="5"/>
        <v>Middle Age</v>
      </c>
      <c r="N383" t="s">
        <v>18</v>
      </c>
    </row>
    <row r="384" spans="1:14" x14ac:dyDescent="0.3">
      <c r="A384">
        <v>13586</v>
      </c>
      <c r="B384" t="s">
        <v>36</v>
      </c>
      <c r="C384" t="s">
        <v>40</v>
      </c>
      <c r="D384">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40</v>
      </c>
      <c r="D385">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v>10000</v>
      </c>
      <c r="E386">
        <v>0</v>
      </c>
      <c r="F386" t="s">
        <v>19</v>
      </c>
      <c r="G386" t="s">
        <v>25</v>
      </c>
      <c r="H386" t="s">
        <v>18</v>
      </c>
      <c r="I386">
        <v>1</v>
      </c>
      <c r="J386" t="s">
        <v>16</v>
      </c>
      <c r="K386" t="s">
        <v>24</v>
      </c>
      <c r="L386">
        <v>28</v>
      </c>
      <c r="M386" t="str">
        <f t="shared" si="5"/>
        <v>Old</v>
      </c>
      <c r="N386" t="s">
        <v>15</v>
      </c>
    </row>
    <row r="387" spans="1:14" x14ac:dyDescent="0.3">
      <c r="A387">
        <v>18018</v>
      </c>
      <c r="B387" t="s">
        <v>38</v>
      </c>
      <c r="C387" t="s">
        <v>40</v>
      </c>
      <c r="D387">
        <v>30000</v>
      </c>
      <c r="E387">
        <v>3</v>
      </c>
      <c r="F387" t="s">
        <v>19</v>
      </c>
      <c r="G387" t="s">
        <v>20</v>
      </c>
      <c r="H387" t="s">
        <v>15</v>
      </c>
      <c r="I387">
        <v>0</v>
      </c>
      <c r="J387" t="s">
        <v>16</v>
      </c>
      <c r="K387" t="s">
        <v>17</v>
      </c>
      <c r="L387">
        <v>43</v>
      </c>
      <c r="M387" t="str">
        <f t="shared" ref="M387:M450" si="6">IF(L400&gt;54, "Old", IF(L400&gt;=31, "Middle Age", IF(L400&lt;31, "Adolescent", "Invalid")))</f>
        <v>Middle Age</v>
      </c>
      <c r="N387" t="s">
        <v>18</v>
      </c>
    </row>
    <row r="388" spans="1:14" x14ac:dyDescent="0.3">
      <c r="A388">
        <v>28957</v>
      </c>
      <c r="B388" t="s">
        <v>38</v>
      </c>
      <c r="C388" t="s">
        <v>39</v>
      </c>
      <c r="D388">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39</v>
      </c>
      <c r="D389">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40</v>
      </c>
      <c r="D392">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40</v>
      </c>
      <c r="D39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40</v>
      </c>
      <c r="D397">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40</v>
      </c>
      <c r="D398">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v>10000</v>
      </c>
      <c r="E399">
        <v>2</v>
      </c>
      <c r="F399" t="s">
        <v>29</v>
      </c>
      <c r="G399" t="s">
        <v>20</v>
      </c>
      <c r="H399" t="s">
        <v>15</v>
      </c>
      <c r="I399">
        <v>2</v>
      </c>
      <c r="J399" t="s">
        <v>23</v>
      </c>
      <c r="K399" t="s">
        <v>24</v>
      </c>
      <c r="L399">
        <v>58</v>
      </c>
      <c r="M399" t="str">
        <f t="shared" si="6"/>
        <v>Middle Age</v>
      </c>
      <c r="N399" t="s">
        <v>18</v>
      </c>
    </row>
    <row r="400" spans="1:14" x14ac:dyDescent="0.3">
      <c r="A400">
        <v>27771</v>
      </c>
      <c r="B400" t="s">
        <v>38</v>
      </c>
      <c r="C400" t="s">
        <v>40</v>
      </c>
      <c r="D400">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v>110000</v>
      </c>
      <c r="E402">
        <v>3</v>
      </c>
      <c r="F402" t="s">
        <v>13</v>
      </c>
      <c r="G402" t="s">
        <v>28</v>
      </c>
      <c r="H402" t="s">
        <v>15</v>
      </c>
      <c r="I402">
        <v>4</v>
      </c>
      <c r="J402" t="s">
        <v>47</v>
      </c>
      <c r="K402" t="s">
        <v>17</v>
      </c>
      <c r="L402">
        <v>53</v>
      </c>
      <c r="M402" t="str">
        <f t="shared" si="6"/>
        <v>Old</v>
      </c>
      <c r="N402" t="s">
        <v>18</v>
      </c>
    </row>
    <row r="403" spans="1:14" x14ac:dyDescent="0.3">
      <c r="A403">
        <v>11555</v>
      </c>
      <c r="B403" t="s">
        <v>36</v>
      </c>
      <c r="C403" t="s">
        <v>39</v>
      </c>
      <c r="D403">
        <v>40000</v>
      </c>
      <c r="E403">
        <v>1</v>
      </c>
      <c r="F403" t="s">
        <v>13</v>
      </c>
      <c r="G403" t="s">
        <v>20</v>
      </c>
      <c r="H403" t="s">
        <v>15</v>
      </c>
      <c r="I403">
        <v>0</v>
      </c>
      <c r="J403" t="s">
        <v>16</v>
      </c>
      <c r="K403" t="s">
        <v>17</v>
      </c>
      <c r="L403">
        <v>80</v>
      </c>
      <c r="M403" t="str">
        <f t="shared" si="6"/>
        <v>Middle Age</v>
      </c>
      <c r="N403" t="s">
        <v>18</v>
      </c>
    </row>
    <row r="404" spans="1:14" x14ac:dyDescent="0.3">
      <c r="A404">
        <v>22381</v>
      </c>
      <c r="B404" t="s">
        <v>36</v>
      </c>
      <c r="C404" t="s">
        <v>40</v>
      </c>
      <c r="D40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40</v>
      </c>
      <c r="D40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40</v>
      </c>
      <c r="D406">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v>90000</v>
      </c>
      <c r="E409">
        <v>2</v>
      </c>
      <c r="F409" t="s">
        <v>13</v>
      </c>
      <c r="G409" t="s">
        <v>21</v>
      </c>
      <c r="H409" t="s">
        <v>18</v>
      </c>
      <c r="I409">
        <v>0</v>
      </c>
      <c r="J409" t="s">
        <v>16</v>
      </c>
      <c r="K409" t="s">
        <v>24</v>
      </c>
      <c r="L409">
        <v>36</v>
      </c>
      <c r="M409" t="str">
        <f t="shared" si="6"/>
        <v>Old</v>
      </c>
      <c r="N409" t="s">
        <v>15</v>
      </c>
    </row>
    <row r="410" spans="1:14" x14ac:dyDescent="0.3">
      <c r="A410">
        <v>12744</v>
      </c>
      <c r="B410" t="s">
        <v>38</v>
      </c>
      <c r="C410" t="s">
        <v>39</v>
      </c>
      <c r="D410">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40</v>
      </c>
      <c r="D41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40</v>
      </c>
      <c r="D414">
        <v>40000</v>
      </c>
      <c r="E414">
        <v>2</v>
      </c>
      <c r="F414" t="s">
        <v>19</v>
      </c>
      <c r="G414" t="s">
        <v>20</v>
      </c>
      <c r="H414" t="s">
        <v>15</v>
      </c>
      <c r="I414">
        <v>0</v>
      </c>
      <c r="J414" t="s">
        <v>16</v>
      </c>
      <c r="K414" t="s">
        <v>17</v>
      </c>
      <c r="L414">
        <v>34</v>
      </c>
      <c r="M414" t="str">
        <f t="shared" si="6"/>
        <v>Old</v>
      </c>
      <c r="N414" t="s">
        <v>18</v>
      </c>
    </row>
    <row r="415" spans="1:14" x14ac:dyDescent="0.3">
      <c r="A415">
        <v>25266</v>
      </c>
      <c r="B415" t="s">
        <v>38</v>
      </c>
      <c r="C415" t="s">
        <v>39</v>
      </c>
      <c r="D415">
        <v>30000</v>
      </c>
      <c r="E415">
        <v>2</v>
      </c>
      <c r="F415" t="s">
        <v>19</v>
      </c>
      <c r="G415" t="s">
        <v>20</v>
      </c>
      <c r="H415" t="s">
        <v>18</v>
      </c>
      <c r="I415">
        <v>2</v>
      </c>
      <c r="J415" t="s">
        <v>23</v>
      </c>
      <c r="K415" t="s">
        <v>24</v>
      </c>
      <c r="L415">
        <v>67</v>
      </c>
      <c r="M415" t="str">
        <f t="shared" si="6"/>
        <v>Adolescent</v>
      </c>
      <c r="N415" t="s">
        <v>18</v>
      </c>
    </row>
    <row r="416" spans="1:14" x14ac:dyDescent="0.3">
      <c r="A416">
        <v>17960</v>
      </c>
      <c r="B416" t="s">
        <v>36</v>
      </c>
      <c r="C416" t="s">
        <v>39</v>
      </c>
      <c r="D416">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40</v>
      </c>
      <c r="D418">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40</v>
      </c>
      <c r="D420">
        <v>30000</v>
      </c>
      <c r="E420">
        <v>1</v>
      </c>
      <c r="F420" t="s">
        <v>13</v>
      </c>
      <c r="G420" t="s">
        <v>14</v>
      </c>
      <c r="H420" t="s">
        <v>15</v>
      </c>
      <c r="I420">
        <v>2</v>
      </c>
      <c r="J420" t="s">
        <v>16</v>
      </c>
      <c r="K420" t="s">
        <v>17</v>
      </c>
      <c r="L420">
        <v>41</v>
      </c>
      <c r="M420" t="str">
        <f t="shared" si="6"/>
        <v>Adolescent</v>
      </c>
      <c r="N420" t="s">
        <v>15</v>
      </c>
    </row>
    <row r="421" spans="1:14" x14ac:dyDescent="0.3">
      <c r="A421">
        <v>19255</v>
      </c>
      <c r="B421" t="s">
        <v>38</v>
      </c>
      <c r="C421" t="s">
        <v>40</v>
      </c>
      <c r="D42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v>100000</v>
      </c>
      <c r="E422">
        <v>2</v>
      </c>
      <c r="F422" t="s">
        <v>13</v>
      </c>
      <c r="G422" t="s">
        <v>28</v>
      </c>
      <c r="H422" t="s">
        <v>15</v>
      </c>
      <c r="I422">
        <v>4</v>
      </c>
      <c r="J422" t="s">
        <v>47</v>
      </c>
      <c r="K422" t="s">
        <v>17</v>
      </c>
      <c r="L422">
        <v>59</v>
      </c>
      <c r="M422" t="str">
        <f t="shared" si="6"/>
        <v>Adolescent</v>
      </c>
      <c r="N422" t="s">
        <v>18</v>
      </c>
    </row>
    <row r="423" spans="1:14" x14ac:dyDescent="0.3">
      <c r="A423">
        <v>14547</v>
      </c>
      <c r="B423" t="s">
        <v>36</v>
      </c>
      <c r="C423" t="s">
        <v>40</v>
      </c>
      <c r="D42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40</v>
      </c>
      <c r="D424">
        <v>110000</v>
      </c>
      <c r="E424">
        <v>0</v>
      </c>
      <c r="F424" t="s">
        <v>19</v>
      </c>
      <c r="G424" t="s">
        <v>28</v>
      </c>
      <c r="H424" t="s">
        <v>18</v>
      </c>
      <c r="I424">
        <v>3</v>
      </c>
      <c r="J424" t="s">
        <v>47</v>
      </c>
      <c r="K424" t="s">
        <v>24</v>
      </c>
      <c r="L424">
        <v>32</v>
      </c>
      <c r="M424" t="str">
        <f t="shared" si="6"/>
        <v>Old</v>
      </c>
      <c r="N424" t="s">
        <v>15</v>
      </c>
    </row>
    <row r="425" spans="1:14" x14ac:dyDescent="0.3">
      <c r="A425">
        <v>27169</v>
      </c>
      <c r="B425" t="s">
        <v>38</v>
      </c>
      <c r="C425" t="s">
        <v>40</v>
      </c>
      <c r="D425">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v>10000</v>
      </c>
      <c r="E426">
        <v>3</v>
      </c>
      <c r="F426" t="s">
        <v>29</v>
      </c>
      <c r="G426" t="s">
        <v>25</v>
      </c>
      <c r="H426" t="s">
        <v>15</v>
      </c>
      <c r="I426">
        <v>2</v>
      </c>
      <c r="J426" t="s">
        <v>16</v>
      </c>
      <c r="K426" t="s">
        <v>17</v>
      </c>
      <c r="L426">
        <v>43</v>
      </c>
      <c r="M426" t="str">
        <f t="shared" si="6"/>
        <v>Adolescent</v>
      </c>
      <c r="N426" t="s">
        <v>18</v>
      </c>
    </row>
    <row r="427" spans="1:14" x14ac:dyDescent="0.3">
      <c r="A427">
        <v>15822</v>
      </c>
      <c r="B427" t="s">
        <v>36</v>
      </c>
      <c r="C427" t="s">
        <v>40</v>
      </c>
      <c r="D427">
        <v>40000</v>
      </c>
      <c r="E427">
        <v>2</v>
      </c>
      <c r="F427" t="s">
        <v>13</v>
      </c>
      <c r="G427" t="s">
        <v>28</v>
      </c>
      <c r="H427" t="s">
        <v>15</v>
      </c>
      <c r="I427">
        <v>2</v>
      </c>
      <c r="J427" t="s">
        <v>16</v>
      </c>
      <c r="K427" t="s">
        <v>24</v>
      </c>
      <c r="L427">
        <v>67</v>
      </c>
      <c r="M427" t="str">
        <f t="shared" si="6"/>
        <v>Middle Age</v>
      </c>
      <c r="N427" t="s">
        <v>18</v>
      </c>
    </row>
    <row r="428" spans="1:14" x14ac:dyDescent="0.3">
      <c r="A428">
        <v>19389</v>
      </c>
      <c r="B428" t="s">
        <v>38</v>
      </c>
      <c r="C428" t="s">
        <v>40</v>
      </c>
      <c r="D428">
        <v>30000</v>
      </c>
      <c r="E428">
        <v>0</v>
      </c>
      <c r="F428" t="s">
        <v>19</v>
      </c>
      <c r="G428" t="s">
        <v>20</v>
      </c>
      <c r="H428" t="s">
        <v>18</v>
      </c>
      <c r="I428">
        <v>1</v>
      </c>
      <c r="J428" t="s">
        <v>22</v>
      </c>
      <c r="K428" t="s">
        <v>17</v>
      </c>
      <c r="L428">
        <v>28</v>
      </c>
      <c r="M428" t="str">
        <f t="shared" si="6"/>
        <v>Middle Age</v>
      </c>
      <c r="N428" t="s">
        <v>18</v>
      </c>
    </row>
    <row r="429" spans="1:14" x14ac:dyDescent="0.3">
      <c r="A429">
        <v>17048</v>
      </c>
      <c r="B429" t="s">
        <v>38</v>
      </c>
      <c r="C429" t="s">
        <v>39</v>
      </c>
      <c r="D429">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40</v>
      </c>
      <c r="D430">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v>30000</v>
      </c>
      <c r="E432">
        <v>3</v>
      </c>
      <c r="F432" t="s">
        <v>27</v>
      </c>
      <c r="G432" t="s">
        <v>14</v>
      </c>
      <c r="H432" t="s">
        <v>15</v>
      </c>
      <c r="I432">
        <v>2</v>
      </c>
      <c r="J432" t="s">
        <v>23</v>
      </c>
      <c r="K432" t="s">
        <v>24</v>
      </c>
      <c r="L432">
        <v>55</v>
      </c>
      <c r="M432" t="str">
        <f t="shared" si="6"/>
        <v>Middle Age</v>
      </c>
      <c r="N432" t="s">
        <v>18</v>
      </c>
    </row>
    <row r="433" spans="1:14" x14ac:dyDescent="0.3">
      <c r="A433">
        <v>28488</v>
      </c>
      <c r="B433" t="s">
        <v>38</v>
      </c>
      <c r="C433" t="s">
        <v>40</v>
      </c>
      <c r="D433">
        <v>20000</v>
      </c>
      <c r="E433">
        <v>0</v>
      </c>
      <c r="F433" t="s">
        <v>19</v>
      </c>
      <c r="G433" t="s">
        <v>25</v>
      </c>
      <c r="H433" t="s">
        <v>15</v>
      </c>
      <c r="I433">
        <v>0</v>
      </c>
      <c r="J433" t="s">
        <v>16</v>
      </c>
      <c r="K433" t="s">
        <v>24</v>
      </c>
      <c r="L433">
        <v>28</v>
      </c>
      <c r="M433" t="str">
        <f t="shared" si="6"/>
        <v>Middle Age</v>
      </c>
      <c r="N433" t="s">
        <v>15</v>
      </c>
    </row>
    <row r="434" spans="1:14" x14ac:dyDescent="0.3">
      <c r="A434">
        <v>21891</v>
      </c>
      <c r="B434" t="s">
        <v>36</v>
      </c>
      <c r="C434" t="s">
        <v>39</v>
      </c>
      <c r="D434">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39</v>
      </c>
      <c r="D435">
        <v>30000</v>
      </c>
      <c r="E435">
        <v>3</v>
      </c>
      <c r="F435" t="s">
        <v>19</v>
      </c>
      <c r="G435" t="s">
        <v>20</v>
      </c>
      <c r="H435" t="s">
        <v>18</v>
      </c>
      <c r="I435">
        <v>1</v>
      </c>
      <c r="J435" t="s">
        <v>16</v>
      </c>
      <c r="K435" t="s">
        <v>17</v>
      </c>
      <c r="L435">
        <v>26</v>
      </c>
      <c r="M435" t="str">
        <f t="shared" si="6"/>
        <v>Middle Age</v>
      </c>
      <c r="N435" t="s">
        <v>18</v>
      </c>
    </row>
    <row r="436" spans="1:14" x14ac:dyDescent="0.3">
      <c r="A436">
        <v>22175</v>
      </c>
      <c r="B436" t="s">
        <v>36</v>
      </c>
      <c r="C436" t="s">
        <v>39</v>
      </c>
      <c r="D436">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v>10000</v>
      </c>
      <c r="E437">
        <v>2</v>
      </c>
      <c r="F437" t="s">
        <v>13</v>
      </c>
      <c r="G437" t="s">
        <v>20</v>
      </c>
      <c r="H437" t="s">
        <v>18</v>
      </c>
      <c r="I437">
        <v>1</v>
      </c>
      <c r="J437" t="s">
        <v>22</v>
      </c>
      <c r="K437" t="s">
        <v>17</v>
      </c>
      <c r="L437">
        <v>68</v>
      </c>
      <c r="M437" t="str">
        <f t="shared" si="6"/>
        <v>Middle Age</v>
      </c>
      <c r="N437" t="s">
        <v>18</v>
      </c>
    </row>
    <row r="438" spans="1:14" x14ac:dyDescent="0.3">
      <c r="A438">
        <v>19784</v>
      </c>
      <c r="B438" t="s">
        <v>36</v>
      </c>
      <c r="C438" t="s">
        <v>39</v>
      </c>
      <c r="D438">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v>30000</v>
      </c>
      <c r="E439">
        <v>3</v>
      </c>
      <c r="F439" t="s">
        <v>19</v>
      </c>
      <c r="G439" t="s">
        <v>20</v>
      </c>
      <c r="H439" t="s">
        <v>15</v>
      </c>
      <c r="I439">
        <v>2</v>
      </c>
      <c r="J439" t="s">
        <v>16</v>
      </c>
      <c r="K439" t="s">
        <v>17</v>
      </c>
      <c r="L439">
        <v>28</v>
      </c>
      <c r="M439" t="str">
        <f t="shared" si="6"/>
        <v>Middle Age</v>
      </c>
      <c r="N439" t="s">
        <v>15</v>
      </c>
    </row>
    <row r="440" spans="1:14" x14ac:dyDescent="0.3">
      <c r="A440">
        <v>24093</v>
      </c>
      <c r="B440" t="s">
        <v>38</v>
      </c>
      <c r="C440" t="s">
        <v>39</v>
      </c>
      <c r="D440">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40</v>
      </c>
      <c r="D441">
        <v>70000</v>
      </c>
      <c r="E441">
        <v>5</v>
      </c>
      <c r="F441" t="s">
        <v>19</v>
      </c>
      <c r="G441" t="s">
        <v>14</v>
      </c>
      <c r="H441" t="s">
        <v>15</v>
      </c>
      <c r="I441">
        <v>2</v>
      </c>
      <c r="J441" t="s">
        <v>16</v>
      </c>
      <c r="K441" t="s">
        <v>24</v>
      </c>
      <c r="L441">
        <v>44</v>
      </c>
      <c r="M441" t="str">
        <f t="shared" si="6"/>
        <v>Old</v>
      </c>
      <c r="N441" t="s">
        <v>18</v>
      </c>
    </row>
    <row r="442" spans="1:14" x14ac:dyDescent="0.3">
      <c r="A442">
        <v>21561</v>
      </c>
      <c r="B442" t="s">
        <v>38</v>
      </c>
      <c r="C442" t="s">
        <v>40</v>
      </c>
      <c r="D442">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40</v>
      </c>
      <c r="D44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40</v>
      </c>
      <c r="D44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40</v>
      </c>
      <c r="D446">
        <v>30000</v>
      </c>
      <c r="E446">
        <v>0</v>
      </c>
      <c r="F446" t="s">
        <v>27</v>
      </c>
      <c r="G446" t="s">
        <v>25</v>
      </c>
      <c r="H446" t="s">
        <v>18</v>
      </c>
      <c r="I446">
        <v>1</v>
      </c>
      <c r="J446" t="s">
        <v>26</v>
      </c>
      <c r="K446" t="s">
        <v>17</v>
      </c>
      <c r="L446">
        <v>32</v>
      </c>
      <c r="M446" t="str">
        <f t="shared" si="6"/>
        <v>Old</v>
      </c>
      <c r="N446" t="s">
        <v>18</v>
      </c>
    </row>
    <row r="447" spans="1:14" x14ac:dyDescent="0.3">
      <c r="A447">
        <v>25307</v>
      </c>
      <c r="B447" t="s">
        <v>36</v>
      </c>
      <c r="C447" t="s">
        <v>39</v>
      </c>
      <c r="D447">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v>40000</v>
      </c>
      <c r="E451">
        <v>1</v>
      </c>
      <c r="F451" t="s">
        <v>13</v>
      </c>
      <c r="G451" t="s">
        <v>14</v>
      </c>
      <c r="H451" t="s">
        <v>15</v>
      </c>
      <c r="I451">
        <v>0</v>
      </c>
      <c r="J451" t="s">
        <v>16</v>
      </c>
      <c r="K451" t="s">
        <v>17</v>
      </c>
      <c r="L451">
        <v>42</v>
      </c>
      <c r="M451" t="str">
        <f t="shared" ref="M451:M514" si="7">IF(L464&gt;54, "Old", IF(L464&gt;=31, "Middle Age", IF(L464&lt;31, "Adolescent", "Invalid")))</f>
        <v>Middle Age</v>
      </c>
      <c r="N451" t="s">
        <v>18</v>
      </c>
    </row>
    <row r="452" spans="1:14" x14ac:dyDescent="0.3">
      <c r="A452">
        <v>16559</v>
      </c>
      <c r="B452" t="s">
        <v>38</v>
      </c>
      <c r="C452" t="s">
        <v>39</v>
      </c>
      <c r="D452">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40</v>
      </c>
      <c r="D456">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40</v>
      </c>
      <c r="D458">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39</v>
      </c>
      <c r="D459">
        <v>20000</v>
      </c>
      <c r="E459">
        <v>1</v>
      </c>
      <c r="F459" t="s">
        <v>19</v>
      </c>
      <c r="G459" t="s">
        <v>25</v>
      </c>
      <c r="H459" t="s">
        <v>15</v>
      </c>
      <c r="I459">
        <v>0</v>
      </c>
      <c r="J459" t="s">
        <v>16</v>
      </c>
      <c r="K459" t="s">
        <v>17</v>
      </c>
      <c r="L459">
        <v>65</v>
      </c>
      <c r="M459" t="str">
        <f t="shared" si="7"/>
        <v>Adolescent</v>
      </c>
      <c r="N459" t="s">
        <v>18</v>
      </c>
    </row>
    <row r="460" spans="1:14" x14ac:dyDescent="0.3">
      <c r="A460">
        <v>21560</v>
      </c>
      <c r="B460" t="s">
        <v>36</v>
      </c>
      <c r="C460" t="s">
        <v>40</v>
      </c>
      <c r="D460">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39</v>
      </c>
      <c r="D461">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40</v>
      </c>
      <c r="D462">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v>40000</v>
      </c>
      <c r="E464">
        <v>0</v>
      </c>
      <c r="F464" t="s">
        <v>13</v>
      </c>
      <c r="G464" t="s">
        <v>20</v>
      </c>
      <c r="H464" t="s">
        <v>15</v>
      </c>
      <c r="I464">
        <v>0</v>
      </c>
      <c r="J464" t="s">
        <v>16</v>
      </c>
      <c r="K464" t="s">
        <v>17</v>
      </c>
      <c r="L464">
        <v>39</v>
      </c>
      <c r="M464" t="str">
        <f t="shared" si="7"/>
        <v>Old</v>
      </c>
      <c r="N464" t="s">
        <v>15</v>
      </c>
    </row>
    <row r="465" spans="1:14" x14ac:dyDescent="0.3">
      <c r="A465">
        <v>19331</v>
      </c>
      <c r="B465" t="s">
        <v>38</v>
      </c>
      <c r="C465" t="s">
        <v>40</v>
      </c>
      <c r="D465">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40</v>
      </c>
      <c r="D467">
        <v>40000</v>
      </c>
      <c r="E467">
        <v>2</v>
      </c>
      <c r="F467" t="s">
        <v>13</v>
      </c>
      <c r="G467" t="s">
        <v>28</v>
      </c>
      <c r="H467" t="s">
        <v>15</v>
      </c>
      <c r="I467">
        <v>2</v>
      </c>
      <c r="J467" t="s">
        <v>16</v>
      </c>
      <c r="K467" t="s">
        <v>24</v>
      </c>
      <c r="L467">
        <v>65</v>
      </c>
      <c r="M467" t="str">
        <f t="shared" si="7"/>
        <v>Middle Age</v>
      </c>
      <c r="N467" t="s">
        <v>18</v>
      </c>
    </row>
    <row r="468" spans="1:14" x14ac:dyDescent="0.3">
      <c r="A468">
        <v>16549</v>
      </c>
      <c r="B468" t="s">
        <v>38</v>
      </c>
      <c r="C468" t="s">
        <v>39</v>
      </c>
      <c r="D468">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40</v>
      </c>
      <c r="D469">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v>30000</v>
      </c>
      <c r="E471">
        <v>1</v>
      </c>
      <c r="F471" t="s">
        <v>13</v>
      </c>
      <c r="G471" t="s">
        <v>20</v>
      </c>
      <c r="H471" t="s">
        <v>15</v>
      </c>
      <c r="I471">
        <v>0</v>
      </c>
      <c r="J471" t="s">
        <v>16</v>
      </c>
      <c r="K471" t="s">
        <v>17</v>
      </c>
      <c r="L471">
        <v>65</v>
      </c>
      <c r="M471" t="str">
        <f t="shared" si="7"/>
        <v>Middle Age</v>
      </c>
      <c r="N471" t="s">
        <v>18</v>
      </c>
    </row>
    <row r="472" spans="1:14" x14ac:dyDescent="0.3">
      <c r="A472">
        <v>15612</v>
      </c>
      <c r="B472" t="s">
        <v>38</v>
      </c>
      <c r="C472" t="s">
        <v>40</v>
      </c>
      <c r="D472">
        <v>30000</v>
      </c>
      <c r="E472">
        <v>0</v>
      </c>
      <c r="F472" t="s">
        <v>27</v>
      </c>
      <c r="G472" t="s">
        <v>25</v>
      </c>
      <c r="H472" t="s">
        <v>18</v>
      </c>
      <c r="I472">
        <v>1</v>
      </c>
      <c r="J472" t="s">
        <v>26</v>
      </c>
      <c r="K472" t="s">
        <v>17</v>
      </c>
      <c r="L472">
        <v>28</v>
      </c>
      <c r="M472" t="str">
        <f t="shared" si="7"/>
        <v>Old</v>
      </c>
      <c r="N472" t="s">
        <v>18</v>
      </c>
    </row>
    <row r="473" spans="1:14" x14ac:dyDescent="0.3">
      <c r="A473">
        <v>28323</v>
      </c>
      <c r="B473" t="s">
        <v>38</v>
      </c>
      <c r="C473" t="s">
        <v>40</v>
      </c>
      <c r="D47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v>30000</v>
      </c>
      <c r="E475">
        <v>0</v>
      </c>
      <c r="F475" t="s">
        <v>13</v>
      </c>
      <c r="G475" t="s">
        <v>20</v>
      </c>
      <c r="H475" t="s">
        <v>15</v>
      </c>
      <c r="I475">
        <v>0</v>
      </c>
      <c r="J475" t="s">
        <v>16</v>
      </c>
      <c r="K475" t="s">
        <v>17</v>
      </c>
      <c r="L475">
        <v>47</v>
      </c>
      <c r="M475" t="str">
        <f t="shared" si="7"/>
        <v>Old</v>
      </c>
      <c r="N475" t="s">
        <v>15</v>
      </c>
    </row>
    <row r="476" spans="1:14" x14ac:dyDescent="0.3">
      <c r="A476">
        <v>27585</v>
      </c>
      <c r="B476" t="s">
        <v>36</v>
      </c>
      <c r="C476" t="s">
        <v>39</v>
      </c>
      <c r="D476">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40</v>
      </c>
      <c r="D477">
        <v>20000</v>
      </c>
      <c r="E477">
        <v>4</v>
      </c>
      <c r="F477" t="s">
        <v>27</v>
      </c>
      <c r="G477" t="s">
        <v>14</v>
      </c>
      <c r="H477" t="s">
        <v>18</v>
      </c>
      <c r="I477">
        <v>2</v>
      </c>
      <c r="J477" t="s">
        <v>26</v>
      </c>
      <c r="K477" t="s">
        <v>24</v>
      </c>
      <c r="L477">
        <v>60</v>
      </c>
      <c r="M477" t="str">
        <f t="shared" si="7"/>
        <v>Middle Age</v>
      </c>
      <c r="N477" t="s">
        <v>18</v>
      </c>
    </row>
    <row r="478" spans="1:14" x14ac:dyDescent="0.3">
      <c r="A478">
        <v>21974</v>
      </c>
      <c r="B478" t="s">
        <v>38</v>
      </c>
      <c r="C478" t="s">
        <v>39</v>
      </c>
      <c r="D478">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40</v>
      </c>
      <c r="D479">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40</v>
      </c>
      <c r="D480">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40</v>
      </c>
      <c r="D48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v>90000</v>
      </c>
      <c r="E482">
        <v>1</v>
      </c>
      <c r="F482" t="s">
        <v>13</v>
      </c>
      <c r="G482" t="s">
        <v>21</v>
      </c>
      <c r="H482" t="s">
        <v>15</v>
      </c>
      <c r="I482">
        <v>1</v>
      </c>
      <c r="J482" t="s">
        <v>23</v>
      </c>
      <c r="K482" t="s">
        <v>24</v>
      </c>
      <c r="L482">
        <v>46</v>
      </c>
      <c r="M482" t="str">
        <f t="shared" si="7"/>
        <v>Old</v>
      </c>
      <c r="N482" t="s">
        <v>18</v>
      </c>
    </row>
    <row r="483" spans="1:14" x14ac:dyDescent="0.3">
      <c r="A483">
        <v>28564</v>
      </c>
      <c r="B483" t="s">
        <v>38</v>
      </c>
      <c r="C483" t="s">
        <v>39</v>
      </c>
      <c r="D48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40</v>
      </c>
      <c r="D484">
        <v>40000</v>
      </c>
      <c r="E484">
        <v>0</v>
      </c>
      <c r="F484" t="s">
        <v>31</v>
      </c>
      <c r="G484" t="s">
        <v>20</v>
      </c>
      <c r="H484" t="s">
        <v>18</v>
      </c>
      <c r="I484">
        <v>0</v>
      </c>
      <c r="J484" t="s">
        <v>16</v>
      </c>
      <c r="K484" t="s">
        <v>17</v>
      </c>
      <c r="L484">
        <v>36</v>
      </c>
      <c r="M484" t="str">
        <f t="shared" si="7"/>
        <v>Old</v>
      </c>
      <c r="N484" t="s">
        <v>15</v>
      </c>
    </row>
    <row r="485" spans="1:14" x14ac:dyDescent="0.3">
      <c r="A485">
        <v>15450</v>
      </c>
      <c r="B485" t="s">
        <v>36</v>
      </c>
      <c r="C485" t="s">
        <v>40</v>
      </c>
      <c r="D485">
        <v>10000</v>
      </c>
      <c r="E485">
        <v>1</v>
      </c>
      <c r="F485" t="s">
        <v>31</v>
      </c>
      <c r="G485" t="s">
        <v>20</v>
      </c>
      <c r="H485" t="s">
        <v>15</v>
      </c>
      <c r="I485">
        <v>0</v>
      </c>
      <c r="J485" t="s">
        <v>16</v>
      </c>
      <c r="K485" t="s">
        <v>17</v>
      </c>
      <c r="L485">
        <v>70</v>
      </c>
      <c r="M485" t="str">
        <f t="shared" si="7"/>
        <v>Middle Age</v>
      </c>
      <c r="N485" t="s">
        <v>18</v>
      </c>
    </row>
    <row r="486" spans="1:14" x14ac:dyDescent="0.3">
      <c r="A486">
        <v>25681</v>
      </c>
      <c r="B486" t="s">
        <v>38</v>
      </c>
      <c r="C486" t="s">
        <v>39</v>
      </c>
      <c r="D486">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40</v>
      </c>
      <c r="D487">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v>90000</v>
      </c>
      <c r="E488">
        <v>4</v>
      </c>
      <c r="F488" t="s">
        <v>29</v>
      </c>
      <c r="G488" t="s">
        <v>14</v>
      </c>
      <c r="H488" t="s">
        <v>15</v>
      </c>
      <c r="I488">
        <v>4</v>
      </c>
      <c r="J488" t="s">
        <v>47</v>
      </c>
      <c r="K488" t="s">
        <v>17</v>
      </c>
      <c r="L488">
        <v>58</v>
      </c>
      <c r="M488" t="str">
        <f t="shared" si="7"/>
        <v>Middle Age</v>
      </c>
      <c r="N488" t="s">
        <v>18</v>
      </c>
    </row>
    <row r="489" spans="1:14" x14ac:dyDescent="0.3">
      <c r="A489">
        <v>12821</v>
      </c>
      <c r="B489" t="s">
        <v>36</v>
      </c>
      <c r="C489" t="s">
        <v>40</v>
      </c>
      <c r="D489">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40</v>
      </c>
      <c r="D491">
        <v>20000</v>
      </c>
      <c r="E491">
        <v>0</v>
      </c>
      <c r="F491" t="s">
        <v>29</v>
      </c>
      <c r="G491" t="s">
        <v>25</v>
      </c>
      <c r="H491" t="s">
        <v>15</v>
      </c>
      <c r="I491">
        <v>2</v>
      </c>
      <c r="J491" t="s">
        <v>16</v>
      </c>
      <c r="K491" t="s">
        <v>17</v>
      </c>
      <c r="L491">
        <v>32</v>
      </c>
      <c r="M491" t="str">
        <f t="shared" si="7"/>
        <v>Adolescent</v>
      </c>
      <c r="N491" t="s">
        <v>18</v>
      </c>
    </row>
    <row r="492" spans="1:14" x14ac:dyDescent="0.3">
      <c r="A492">
        <v>11738</v>
      </c>
      <c r="B492" t="s">
        <v>36</v>
      </c>
      <c r="C492" t="s">
        <v>40</v>
      </c>
      <c r="D492">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40</v>
      </c>
      <c r="D49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40</v>
      </c>
      <c r="D495">
        <v>70000</v>
      </c>
      <c r="E495">
        <v>5</v>
      </c>
      <c r="F495" t="s">
        <v>13</v>
      </c>
      <c r="G495" t="s">
        <v>28</v>
      </c>
      <c r="H495" t="s">
        <v>15</v>
      </c>
      <c r="I495">
        <v>3</v>
      </c>
      <c r="J495" t="s">
        <v>47</v>
      </c>
      <c r="K495" t="s">
        <v>32</v>
      </c>
      <c r="L495">
        <v>60</v>
      </c>
      <c r="M495" t="str">
        <f t="shared" si="7"/>
        <v>Middle Age</v>
      </c>
      <c r="N495" t="s">
        <v>15</v>
      </c>
    </row>
    <row r="496" spans="1:14" x14ac:dyDescent="0.3">
      <c r="A496">
        <v>27650</v>
      </c>
      <c r="B496" t="s">
        <v>36</v>
      </c>
      <c r="C496" t="s">
        <v>40</v>
      </c>
      <c r="D496">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40</v>
      </c>
      <c r="D497">
        <v>60000</v>
      </c>
      <c r="E497">
        <v>2</v>
      </c>
      <c r="F497" t="s">
        <v>19</v>
      </c>
      <c r="G497" t="s">
        <v>21</v>
      </c>
      <c r="H497" t="s">
        <v>15</v>
      </c>
      <c r="I497">
        <v>2</v>
      </c>
      <c r="J497" t="s">
        <v>47</v>
      </c>
      <c r="K497" t="s">
        <v>32</v>
      </c>
      <c r="L497">
        <v>56</v>
      </c>
      <c r="M497" t="str">
        <f t="shared" si="7"/>
        <v>Adolescent</v>
      </c>
      <c r="N497" t="s">
        <v>18</v>
      </c>
    </row>
    <row r="498" spans="1:14" x14ac:dyDescent="0.3">
      <c r="A498">
        <v>20678</v>
      </c>
      <c r="B498" t="s">
        <v>38</v>
      </c>
      <c r="C498" t="s">
        <v>39</v>
      </c>
      <c r="D498">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40</v>
      </c>
      <c r="D500">
        <v>80000</v>
      </c>
      <c r="E500">
        <v>1</v>
      </c>
      <c r="F500" t="s">
        <v>19</v>
      </c>
      <c r="G500" t="s">
        <v>14</v>
      </c>
      <c r="H500" t="s">
        <v>15</v>
      </c>
      <c r="I500">
        <v>1</v>
      </c>
      <c r="J500" t="s">
        <v>22</v>
      </c>
      <c r="K500" t="s">
        <v>32</v>
      </c>
      <c r="L500">
        <v>48</v>
      </c>
      <c r="M500" t="str">
        <f t="shared" si="7"/>
        <v>Old</v>
      </c>
      <c r="N500" t="s">
        <v>15</v>
      </c>
    </row>
    <row r="501" spans="1:14" x14ac:dyDescent="0.3">
      <c r="A501">
        <v>26575</v>
      </c>
      <c r="B501" t="s">
        <v>38</v>
      </c>
      <c r="C501" t="s">
        <v>39</v>
      </c>
      <c r="D50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40</v>
      </c>
      <c r="D502">
        <v>60000</v>
      </c>
      <c r="E502">
        <v>5</v>
      </c>
      <c r="F502" t="s">
        <v>13</v>
      </c>
      <c r="G502" t="s">
        <v>21</v>
      </c>
      <c r="H502" t="s">
        <v>15</v>
      </c>
      <c r="I502">
        <v>1</v>
      </c>
      <c r="J502" t="s">
        <v>22</v>
      </c>
      <c r="K502" t="s">
        <v>32</v>
      </c>
      <c r="L502">
        <v>47</v>
      </c>
      <c r="M502" t="str">
        <f t="shared" si="7"/>
        <v>Old</v>
      </c>
      <c r="N502" t="s">
        <v>18</v>
      </c>
    </row>
    <row r="503" spans="1:14" x14ac:dyDescent="0.3">
      <c r="A503">
        <v>19235</v>
      </c>
      <c r="B503" t="s">
        <v>36</v>
      </c>
      <c r="C503" t="s">
        <v>39</v>
      </c>
      <c r="D50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40</v>
      </c>
      <c r="D504">
        <v>40000</v>
      </c>
      <c r="E504">
        <v>0</v>
      </c>
      <c r="F504" t="s">
        <v>19</v>
      </c>
      <c r="G504" t="s">
        <v>14</v>
      </c>
      <c r="H504" t="s">
        <v>15</v>
      </c>
      <c r="I504">
        <v>1</v>
      </c>
      <c r="J504" t="s">
        <v>23</v>
      </c>
      <c r="K504" t="s">
        <v>32</v>
      </c>
      <c r="L504">
        <v>29</v>
      </c>
      <c r="M504" t="str">
        <f t="shared" si="7"/>
        <v>Middle Age</v>
      </c>
      <c r="N504" t="s">
        <v>18</v>
      </c>
    </row>
    <row r="505" spans="1:14" x14ac:dyDescent="0.3">
      <c r="A505">
        <v>20339</v>
      </c>
      <c r="B505" t="s">
        <v>36</v>
      </c>
      <c r="C505" t="s">
        <v>39</v>
      </c>
      <c r="D50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40</v>
      </c>
      <c r="D506">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40</v>
      </c>
      <c r="D507">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v>70000</v>
      </c>
      <c r="E508">
        <v>4</v>
      </c>
      <c r="F508" t="s">
        <v>13</v>
      </c>
      <c r="G508" t="s">
        <v>21</v>
      </c>
      <c r="H508" t="s">
        <v>15</v>
      </c>
      <c r="I508">
        <v>2</v>
      </c>
      <c r="J508" t="s">
        <v>22</v>
      </c>
      <c r="K508" t="s">
        <v>32</v>
      </c>
      <c r="L508">
        <v>42</v>
      </c>
      <c r="M508" t="str">
        <f t="shared" si="7"/>
        <v>Old</v>
      </c>
      <c r="N508" t="s">
        <v>15</v>
      </c>
    </row>
    <row r="509" spans="1:14" x14ac:dyDescent="0.3">
      <c r="A509">
        <v>24738</v>
      </c>
      <c r="B509" t="s">
        <v>36</v>
      </c>
      <c r="C509" t="s">
        <v>39</v>
      </c>
      <c r="D509">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40</v>
      </c>
      <c r="D510">
        <v>60000</v>
      </c>
      <c r="E510">
        <v>0</v>
      </c>
      <c r="F510" t="s">
        <v>19</v>
      </c>
      <c r="G510" t="s">
        <v>14</v>
      </c>
      <c r="H510" t="s">
        <v>18</v>
      </c>
      <c r="I510">
        <v>2</v>
      </c>
      <c r="J510" t="s">
        <v>26</v>
      </c>
      <c r="K510" t="s">
        <v>32</v>
      </c>
      <c r="L510">
        <v>29</v>
      </c>
      <c r="M510" t="str">
        <f t="shared" si="7"/>
        <v>Old</v>
      </c>
      <c r="N510" t="s">
        <v>18</v>
      </c>
    </row>
    <row r="511" spans="1:14" x14ac:dyDescent="0.3">
      <c r="A511">
        <v>24357</v>
      </c>
      <c r="B511" t="s">
        <v>36</v>
      </c>
      <c r="C511" t="s">
        <v>40</v>
      </c>
      <c r="D511">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40</v>
      </c>
      <c r="D512">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40</v>
      </c>
      <c r="D51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v>60000</v>
      </c>
      <c r="E514">
        <v>1</v>
      </c>
      <c r="F514" t="s">
        <v>19</v>
      </c>
      <c r="G514" t="s">
        <v>14</v>
      </c>
      <c r="H514" t="s">
        <v>15</v>
      </c>
      <c r="I514">
        <v>1</v>
      </c>
      <c r="J514" t="s">
        <v>16</v>
      </c>
      <c r="K514" t="s">
        <v>32</v>
      </c>
      <c r="L514">
        <v>45</v>
      </c>
      <c r="M514" t="str">
        <f t="shared" si="7"/>
        <v>Old</v>
      </c>
      <c r="N514" t="s">
        <v>15</v>
      </c>
    </row>
    <row r="515" spans="1:14" x14ac:dyDescent="0.3">
      <c r="A515">
        <v>13353</v>
      </c>
      <c r="B515" t="s">
        <v>38</v>
      </c>
      <c r="C515" t="s">
        <v>39</v>
      </c>
      <c r="D515">
        <v>60000</v>
      </c>
      <c r="E515">
        <v>4</v>
      </c>
      <c r="F515" t="s">
        <v>31</v>
      </c>
      <c r="G515" t="s">
        <v>28</v>
      </c>
      <c r="H515" t="s">
        <v>15</v>
      </c>
      <c r="I515">
        <v>2</v>
      </c>
      <c r="J515" t="s">
        <v>47</v>
      </c>
      <c r="K515" t="s">
        <v>32</v>
      </c>
      <c r="L515">
        <v>61</v>
      </c>
      <c r="M515" t="str">
        <f t="shared" ref="M515:M578" si="8">IF(L528&gt;54, "Old", IF(L528&gt;=31, "Middle Age", IF(L528&lt;31, "Adolescent", "Invalid")))</f>
        <v>Middle Age</v>
      </c>
      <c r="N515" t="s">
        <v>15</v>
      </c>
    </row>
    <row r="516" spans="1:14" x14ac:dyDescent="0.3">
      <c r="A516">
        <v>19399</v>
      </c>
      <c r="B516" t="s">
        <v>38</v>
      </c>
      <c r="C516" t="s">
        <v>40</v>
      </c>
      <c r="D516">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v>70000</v>
      </c>
      <c r="E517">
        <v>5</v>
      </c>
      <c r="F517" t="s">
        <v>13</v>
      </c>
      <c r="G517" t="s">
        <v>21</v>
      </c>
      <c r="H517" t="s">
        <v>15</v>
      </c>
      <c r="I517">
        <v>2</v>
      </c>
      <c r="J517" t="s">
        <v>22</v>
      </c>
      <c r="K517" t="s">
        <v>32</v>
      </c>
      <c r="L517">
        <v>47</v>
      </c>
      <c r="M517" t="str">
        <f t="shared" si="8"/>
        <v>Adolescent</v>
      </c>
      <c r="N517" t="s">
        <v>18</v>
      </c>
    </row>
    <row r="518" spans="1:14" x14ac:dyDescent="0.3">
      <c r="A518">
        <v>22219</v>
      </c>
      <c r="B518" t="s">
        <v>36</v>
      </c>
      <c r="C518" t="s">
        <v>39</v>
      </c>
      <c r="D518">
        <v>60000</v>
      </c>
      <c r="E518">
        <v>2</v>
      </c>
      <c r="F518" t="s">
        <v>27</v>
      </c>
      <c r="G518" t="s">
        <v>21</v>
      </c>
      <c r="H518" t="s">
        <v>15</v>
      </c>
      <c r="I518">
        <v>2</v>
      </c>
      <c r="J518" t="s">
        <v>23</v>
      </c>
      <c r="K518" t="s">
        <v>32</v>
      </c>
      <c r="L518">
        <v>49</v>
      </c>
      <c r="M518" t="str">
        <f t="shared" si="8"/>
        <v>Old</v>
      </c>
      <c r="N518" t="s">
        <v>18</v>
      </c>
    </row>
    <row r="519" spans="1:14" x14ac:dyDescent="0.3">
      <c r="A519">
        <v>17269</v>
      </c>
      <c r="B519" t="s">
        <v>38</v>
      </c>
      <c r="C519" t="s">
        <v>40</v>
      </c>
      <c r="D519">
        <v>60000</v>
      </c>
      <c r="E519">
        <v>3</v>
      </c>
      <c r="F519" t="s">
        <v>13</v>
      </c>
      <c r="G519" t="s">
        <v>21</v>
      </c>
      <c r="H519" t="s">
        <v>18</v>
      </c>
      <c r="I519">
        <v>0</v>
      </c>
      <c r="J519" t="s">
        <v>16</v>
      </c>
      <c r="K519" t="s">
        <v>32</v>
      </c>
      <c r="L519">
        <v>47</v>
      </c>
      <c r="M519" t="str">
        <f t="shared" si="8"/>
        <v>Adolescent</v>
      </c>
      <c r="N519" t="s">
        <v>15</v>
      </c>
    </row>
    <row r="520" spans="1:14" x14ac:dyDescent="0.3">
      <c r="A520">
        <v>23586</v>
      </c>
      <c r="B520" t="s">
        <v>36</v>
      </c>
      <c r="C520" t="s">
        <v>39</v>
      </c>
      <c r="D520">
        <v>80000</v>
      </c>
      <c r="E520">
        <v>0</v>
      </c>
      <c r="F520" t="s">
        <v>13</v>
      </c>
      <c r="G520" t="s">
        <v>28</v>
      </c>
      <c r="H520" t="s">
        <v>15</v>
      </c>
      <c r="I520">
        <v>1</v>
      </c>
      <c r="J520" t="s">
        <v>26</v>
      </c>
      <c r="K520" t="s">
        <v>32</v>
      </c>
      <c r="L520">
        <v>34</v>
      </c>
      <c r="M520" t="str">
        <f t="shared" si="8"/>
        <v>Adolescent</v>
      </c>
      <c r="N520" t="s">
        <v>15</v>
      </c>
    </row>
    <row r="521" spans="1:14" x14ac:dyDescent="0.3">
      <c r="A521">
        <v>15740</v>
      </c>
      <c r="B521" t="s">
        <v>36</v>
      </c>
      <c r="C521" t="s">
        <v>40</v>
      </c>
      <c r="D521">
        <v>80000</v>
      </c>
      <c r="E521">
        <v>5</v>
      </c>
      <c r="F521" t="s">
        <v>13</v>
      </c>
      <c r="G521" t="s">
        <v>28</v>
      </c>
      <c r="H521" t="s">
        <v>15</v>
      </c>
      <c r="I521">
        <v>2</v>
      </c>
      <c r="J521" t="s">
        <v>26</v>
      </c>
      <c r="K521" t="s">
        <v>32</v>
      </c>
      <c r="L521">
        <v>64</v>
      </c>
      <c r="M521" t="str">
        <f t="shared" si="8"/>
        <v>Middle Age</v>
      </c>
      <c r="N521" t="s">
        <v>18</v>
      </c>
    </row>
    <row r="522" spans="1:14" x14ac:dyDescent="0.3">
      <c r="A522">
        <v>27638</v>
      </c>
      <c r="B522" t="s">
        <v>38</v>
      </c>
      <c r="C522" t="s">
        <v>40</v>
      </c>
      <c r="D522">
        <v>100000</v>
      </c>
      <c r="E522">
        <v>1</v>
      </c>
      <c r="F522" t="s">
        <v>19</v>
      </c>
      <c r="G522" t="s">
        <v>21</v>
      </c>
      <c r="H522" t="s">
        <v>18</v>
      </c>
      <c r="I522">
        <v>3</v>
      </c>
      <c r="J522" t="s">
        <v>26</v>
      </c>
      <c r="K522" t="s">
        <v>32</v>
      </c>
      <c r="L522">
        <v>44</v>
      </c>
      <c r="M522" t="str">
        <f t="shared" si="8"/>
        <v>Old</v>
      </c>
      <c r="N522" t="s">
        <v>18</v>
      </c>
    </row>
    <row r="523" spans="1:14" x14ac:dyDescent="0.3">
      <c r="A523">
        <v>18976</v>
      </c>
      <c r="B523" t="s">
        <v>38</v>
      </c>
      <c r="C523" t="s">
        <v>40</v>
      </c>
      <c r="D523">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40</v>
      </c>
      <c r="D52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40</v>
      </c>
      <c r="D525">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v>80000</v>
      </c>
      <c r="E526">
        <v>4</v>
      </c>
      <c r="F526" t="s">
        <v>31</v>
      </c>
      <c r="G526" t="s">
        <v>28</v>
      </c>
      <c r="H526" t="s">
        <v>15</v>
      </c>
      <c r="I526">
        <v>2</v>
      </c>
      <c r="J526" t="s">
        <v>23</v>
      </c>
      <c r="K526" t="s">
        <v>32</v>
      </c>
      <c r="L526">
        <v>67</v>
      </c>
      <c r="M526" t="str">
        <f t="shared" si="8"/>
        <v>Middle Age</v>
      </c>
      <c r="N526" t="s">
        <v>18</v>
      </c>
    </row>
    <row r="527" spans="1:14" x14ac:dyDescent="0.3">
      <c r="A527">
        <v>16791</v>
      </c>
      <c r="B527" t="s">
        <v>38</v>
      </c>
      <c r="C527" t="s">
        <v>40</v>
      </c>
      <c r="D527">
        <v>60000</v>
      </c>
      <c r="E527">
        <v>5</v>
      </c>
      <c r="F527" t="s">
        <v>13</v>
      </c>
      <c r="G527" t="s">
        <v>28</v>
      </c>
      <c r="H527" t="s">
        <v>15</v>
      </c>
      <c r="I527">
        <v>3</v>
      </c>
      <c r="J527" t="s">
        <v>47</v>
      </c>
      <c r="K527" t="s">
        <v>32</v>
      </c>
      <c r="L527">
        <v>59</v>
      </c>
      <c r="M527" t="str">
        <f t="shared" si="8"/>
        <v>Middle Age</v>
      </c>
      <c r="N527" t="s">
        <v>15</v>
      </c>
    </row>
    <row r="528" spans="1:14" x14ac:dyDescent="0.3">
      <c r="A528">
        <v>15382</v>
      </c>
      <c r="B528" t="s">
        <v>36</v>
      </c>
      <c r="C528" t="s">
        <v>39</v>
      </c>
      <c r="D528">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40</v>
      </c>
      <c r="D529">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v>30000</v>
      </c>
      <c r="E530">
        <v>0</v>
      </c>
      <c r="F530" t="s">
        <v>19</v>
      </c>
      <c r="G530" t="s">
        <v>14</v>
      </c>
      <c r="H530" t="s">
        <v>15</v>
      </c>
      <c r="I530">
        <v>1</v>
      </c>
      <c r="J530" t="s">
        <v>23</v>
      </c>
      <c r="K530" t="s">
        <v>32</v>
      </c>
      <c r="L530">
        <v>28</v>
      </c>
      <c r="M530" t="str">
        <f t="shared" si="8"/>
        <v>Middle Age</v>
      </c>
      <c r="N530" t="s">
        <v>18</v>
      </c>
    </row>
    <row r="531" spans="1:14" x14ac:dyDescent="0.3">
      <c r="A531">
        <v>13233</v>
      </c>
      <c r="B531" t="s">
        <v>36</v>
      </c>
      <c r="C531" t="s">
        <v>40</v>
      </c>
      <c r="D531">
        <v>60000</v>
      </c>
      <c r="E531">
        <v>2</v>
      </c>
      <c r="F531" t="s">
        <v>19</v>
      </c>
      <c r="G531" t="s">
        <v>21</v>
      </c>
      <c r="H531" t="s">
        <v>15</v>
      </c>
      <c r="I531">
        <v>1</v>
      </c>
      <c r="J531" t="s">
        <v>47</v>
      </c>
      <c r="K531" t="s">
        <v>32</v>
      </c>
      <c r="L531">
        <v>57</v>
      </c>
      <c r="M531" t="str">
        <f t="shared" si="8"/>
        <v>Adolescent</v>
      </c>
      <c r="N531" t="s">
        <v>15</v>
      </c>
    </row>
    <row r="532" spans="1:14" x14ac:dyDescent="0.3">
      <c r="A532">
        <v>25909</v>
      </c>
      <c r="B532" t="s">
        <v>36</v>
      </c>
      <c r="C532" t="s">
        <v>40</v>
      </c>
      <c r="D532">
        <v>60000</v>
      </c>
      <c r="E532">
        <v>0</v>
      </c>
      <c r="F532" t="s">
        <v>19</v>
      </c>
      <c r="G532" t="s">
        <v>14</v>
      </c>
      <c r="H532" t="s">
        <v>15</v>
      </c>
      <c r="I532">
        <v>1</v>
      </c>
      <c r="J532" t="s">
        <v>23</v>
      </c>
      <c r="K532" t="s">
        <v>32</v>
      </c>
      <c r="L532">
        <v>27</v>
      </c>
      <c r="M532" t="str">
        <f t="shared" si="8"/>
        <v>Middle Age</v>
      </c>
      <c r="N532" t="s">
        <v>15</v>
      </c>
    </row>
    <row r="533" spans="1:14" x14ac:dyDescent="0.3">
      <c r="A533">
        <v>14092</v>
      </c>
      <c r="B533" t="s">
        <v>38</v>
      </c>
      <c r="C533" t="s">
        <v>40</v>
      </c>
      <c r="D533">
        <v>30000</v>
      </c>
      <c r="E533">
        <v>0</v>
      </c>
      <c r="F533" t="s">
        <v>29</v>
      </c>
      <c r="G533" t="s">
        <v>20</v>
      </c>
      <c r="H533" t="s">
        <v>15</v>
      </c>
      <c r="I533">
        <v>2</v>
      </c>
      <c r="J533" t="s">
        <v>23</v>
      </c>
      <c r="K533" t="s">
        <v>32</v>
      </c>
      <c r="L533">
        <v>28</v>
      </c>
      <c r="M533" t="str">
        <f t="shared" si="8"/>
        <v>Middle Age</v>
      </c>
      <c r="N533" t="s">
        <v>18</v>
      </c>
    </row>
    <row r="534" spans="1:14" x14ac:dyDescent="0.3">
      <c r="A534">
        <v>29143</v>
      </c>
      <c r="B534" t="s">
        <v>38</v>
      </c>
      <c r="C534" t="s">
        <v>39</v>
      </c>
      <c r="D534">
        <v>60000</v>
      </c>
      <c r="E534">
        <v>1</v>
      </c>
      <c r="F534" t="s">
        <v>13</v>
      </c>
      <c r="G534" t="s">
        <v>21</v>
      </c>
      <c r="H534" t="s">
        <v>18</v>
      </c>
      <c r="I534">
        <v>1</v>
      </c>
      <c r="J534" t="s">
        <v>16</v>
      </c>
      <c r="K534" t="s">
        <v>32</v>
      </c>
      <c r="L534">
        <v>44</v>
      </c>
      <c r="M534" t="str">
        <f t="shared" si="8"/>
        <v>Adolescent</v>
      </c>
      <c r="N534" t="s">
        <v>15</v>
      </c>
    </row>
    <row r="535" spans="1:14" x14ac:dyDescent="0.3">
      <c r="A535">
        <v>24941</v>
      </c>
      <c r="B535" t="s">
        <v>36</v>
      </c>
      <c r="C535" t="s">
        <v>40</v>
      </c>
      <c r="D535">
        <v>60000</v>
      </c>
      <c r="E535">
        <v>3</v>
      </c>
      <c r="F535" t="s">
        <v>13</v>
      </c>
      <c r="G535" t="s">
        <v>28</v>
      </c>
      <c r="H535" t="s">
        <v>15</v>
      </c>
      <c r="I535">
        <v>2</v>
      </c>
      <c r="J535" t="s">
        <v>47</v>
      </c>
      <c r="K535" t="s">
        <v>32</v>
      </c>
      <c r="L535">
        <v>66</v>
      </c>
      <c r="M535" t="str">
        <f t="shared" si="8"/>
        <v>Middle Age</v>
      </c>
      <c r="N535" t="s">
        <v>18</v>
      </c>
    </row>
    <row r="536" spans="1:14" x14ac:dyDescent="0.3">
      <c r="A536">
        <v>24637</v>
      </c>
      <c r="B536" t="s">
        <v>36</v>
      </c>
      <c r="C536" t="s">
        <v>40</v>
      </c>
      <c r="D536">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40</v>
      </c>
      <c r="D537">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39</v>
      </c>
      <c r="D538">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v>80000</v>
      </c>
      <c r="E540">
        <v>4</v>
      </c>
      <c r="F540" t="s">
        <v>13</v>
      </c>
      <c r="G540" t="s">
        <v>28</v>
      </c>
      <c r="H540" t="s">
        <v>15</v>
      </c>
      <c r="I540">
        <v>0</v>
      </c>
      <c r="J540" t="s">
        <v>16</v>
      </c>
      <c r="K540" t="s">
        <v>32</v>
      </c>
      <c r="L540">
        <v>42</v>
      </c>
      <c r="M540" t="str">
        <f t="shared" si="8"/>
        <v>Old</v>
      </c>
      <c r="N540" t="s">
        <v>18</v>
      </c>
    </row>
    <row r="541" spans="1:14" x14ac:dyDescent="0.3">
      <c r="A541">
        <v>22294</v>
      </c>
      <c r="B541" t="s">
        <v>38</v>
      </c>
      <c r="C541" t="s">
        <v>39</v>
      </c>
      <c r="D541">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40</v>
      </c>
      <c r="D54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40</v>
      </c>
      <c r="D544">
        <v>40000</v>
      </c>
      <c r="E544">
        <v>0</v>
      </c>
      <c r="F544" t="s">
        <v>27</v>
      </c>
      <c r="G544" t="s">
        <v>14</v>
      </c>
      <c r="H544" t="s">
        <v>15</v>
      </c>
      <c r="I544">
        <v>2</v>
      </c>
      <c r="J544" t="s">
        <v>23</v>
      </c>
      <c r="K544" t="s">
        <v>32</v>
      </c>
      <c r="L544">
        <v>29</v>
      </c>
      <c r="M544" t="str">
        <f t="shared" si="8"/>
        <v>Middle Age</v>
      </c>
      <c r="N544" t="s">
        <v>18</v>
      </c>
    </row>
    <row r="545" spans="1:14" x14ac:dyDescent="0.3">
      <c r="A545">
        <v>25898</v>
      </c>
      <c r="B545" t="s">
        <v>36</v>
      </c>
      <c r="C545" t="s">
        <v>39</v>
      </c>
      <c r="D545">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40</v>
      </c>
      <c r="D546">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40</v>
      </c>
      <c r="D547">
        <v>60000</v>
      </c>
      <c r="E547">
        <v>0</v>
      </c>
      <c r="F547" t="s">
        <v>19</v>
      </c>
      <c r="G547" t="s">
        <v>14</v>
      </c>
      <c r="H547" t="s">
        <v>18</v>
      </c>
      <c r="I547">
        <v>2</v>
      </c>
      <c r="J547" t="s">
        <v>26</v>
      </c>
      <c r="K547" t="s">
        <v>32</v>
      </c>
      <c r="L547">
        <v>29</v>
      </c>
      <c r="M547" t="str">
        <f t="shared" si="8"/>
        <v>Middle Age</v>
      </c>
      <c r="N547" t="s">
        <v>18</v>
      </c>
    </row>
    <row r="548" spans="1:14" x14ac:dyDescent="0.3">
      <c r="A548">
        <v>15529</v>
      </c>
      <c r="B548" t="s">
        <v>36</v>
      </c>
      <c r="C548" t="s">
        <v>40</v>
      </c>
      <c r="D548">
        <v>60000</v>
      </c>
      <c r="E548">
        <v>4</v>
      </c>
      <c r="F548" t="s">
        <v>13</v>
      </c>
      <c r="G548" t="s">
        <v>21</v>
      </c>
      <c r="H548" t="s">
        <v>15</v>
      </c>
      <c r="I548">
        <v>2</v>
      </c>
      <c r="J548" t="s">
        <v>22</v>
      </c>
      <c r="K548" t="s">
        <v>32</v>
      </c>
      <c r="L548">
        <v>43</v>
      </c>
      <c r="M548" t="str">
        <f t="shared" si="8"/>
        <v>Old</v>
      </c>
      <c r="N548" t="s">
        <v>15</v>
      </c>
    </row>
    <row r="549" spans="1:14" x14ac:dyDescent="0.3">
      <c r="A549">
        <v>19884</v>
      </c>
      <c r="B549" t="s">
        <v>36</v>
      </c>
      <c r="C549" t="s">
        <v>40</v>
      </c>
      <c r="D549">
        <v>60000</v>
      </c>
      <c r="E549">
        <v>2</v>
      </c>
      <c r="F549" t="s">
        <v>27</v>
      </c>
      <c r="G549" t="s">
        <v>21</v>
      </c>
      <c r="H549" t="s">
        <v>15</v>
      </c>
      <c r="I549">
        <v>2</v>
      </c>
      <c r="J549" t="s">
        <v>22</v>
      </c>
      <c r="K549" t="s">
        <v>32</v>
      </c>
      <c r="L549">
        <v>55</v>
      </c>
      <c r="M549" t="str">
        <f t="shared" si="8"/>
        <v>Middle Age</v>
      </c>
      <c r="N549" t="s">
        <v>15</v>
      </c>
    </row>
    <row r="550" spans="1:14" x14ac:dyDescent="0.3">
      <c r="A550">
        <v>18674</v>
      </c>
      <c r="B550" t="s">
        <v>38</v>
      </c>
      <c r="C550" t="s">
        <v>39</v>
      </c>
      <c r="D550">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v>70000</v>
      </c>
      <c r="E552">
        <v>0</v>
      </c>
      <c r="F552" t="s">
        <v>13</v>
      </c>
      <c r="G552" t="s">
        <v>21</v>
      </c>
      <c r="H552" t="s">
        <v>18</v>
      </c>
      <c r="I552">
        <v>1</v>
      </c>
      <c r="J552" t="s">
        <v>16</v>
      </c>
      <c r="K552" t="s">
        <v>24</v>
      </c>
      <c r="L552">
        <v>42</v>
      </c>
      <c r="M552" t="str">
        <f t="shared" si="8"/>
        <v>Adolescent</v>
      </c>
      <c r="N552" t="s">
        <v>15</v>
      </c>
    </row>
    <row r="553" spans="1:14" x14ac:dyDescent="0.3">
      <c r="A553">
        <v>27393</v>
      </c>
      <c r="B553" t="s">
        <v>36</v>
      </c>
      <c r="C553" t="s">
        <v>39</v>
      </c>
      <c r="D553">
        <v>50000</v>
      </c>
      <c r="E553">
        <v>4</v>
      </c>
      <c r="F553" t="s">
        <v>13</v>
      </c>
      <c r="G553" t="s">
        <v>28</v>
      </c>
      <c r="H553" t="s">
        <v>15</v>
      </c>
      <c r="I553">
        <v>2</v>
      </c>
      <c r="J553" t="s">
        <v>47</v>
      </c>
      <c r="K553" t="s">
        <v>32</v>
      </c>
      <c r="L553">
        <v>63</v>
      </c>
      <c r="M553" t="str">
        <f t="shared" si="8"/>
        <v>Adolescent</v>
      </c>
      <c r="N553" t="s">
        <v>18</v>
      </c>
    </row>
    <row r="554" spans="1:14" x14ac:dyDescent="0.3">
      <c r="A554">
        <v>14417</v>
      </c>
      <c r="B554" t="s">
        <v>38</v>
      </c>
      <c r="C554" t="s">
        <v>40</v>
      </c>
      <c r="D554">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40</v>
      </c>
      <c r="D55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40</v>
      </c>
      <c r="D557">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40</v>
      </c>
      <c r="D558">
        <v>80000</v>
      </c>
      <c r="E558">
        <v>4</v>
      </c>
      <c r="F558" t="s">
        <v>13</v>
      </c>
      <c r="G558" t="s">
        <v>28</v>
      </c>
      <c r="H558" t="s">
        <v>15</v>
      </c>
      <c r="I558">
        <v>0</v>
      </c>
      <c r="J558" t="s">
        <v>26</v>
      </c>
      <c r="K558" t="s">
        <v>32</v>
      </c>
      <c r="L558">
        <v>42</v>
      </c>
      <c r="M558" t="str">
        <f t="shared" si="8"/>
        <v>Old</v>
      </c>
      <c r="N558" t="s">
        <v>18</v>
      </c>
    </row>
    <row r="559" spans="1:14" x14ac:dyDescent="0.3">
      <c r="A559">
        <v>24725</v>
      </c>
      <c r="B559" t="s">
        <v>36</v>
      </c>
      <c r="C559" t="s">
        <v>39</v>
      </c>
      <c r="D559">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v>50000</v>
      </c>
      <c r="E560">
        <v>3</v>
      </c>
      <c r="F560" t="s">
        <v>13</v>
      </c>
      <c r="G560" t="s">
        <v>14</v>
      </c>
      <c r="H560" t="s">
        <v>15</v>
      </c>
      <c r="I560">
        <v>2</v>
      </c>
      <c r="J560" t="s">
        <v>16</v>
      </c>
      <c r="K560" t="s">
        <v>32</v>
      </c>
      <c r="L560">
        <v>41</v>
      </c>
      <c r="M560" t="str">
        <f t="shared" si="8"/>
        <v>Old</v>
      </c>
      <c r="N560" t="s">
        <v>18</v>
      </c>
    </row>
    <row r="561" spans="1:14" x14ac:dyDescent="0.3">
      <c r="A561">
        <v>15895</v>
      </c>
      <c r="B561" t="s">
        <v>38</v>
      </c>
      <c r="C561" t="s">
        <v>39</v>
      </c>
      <c r="D561">
        <v>60000</v>
      </c>
      <c r="E561">
        <v>2</v>
      </c>
      <c r="F561" t="s">
        <v>13</v>
      </c>
      <c r="G561" t="s">
        <v>28</v>
      </c>
      <c r="H561" t="s">
        <v>15</v>
      </c>
      <c r="I561">
        <v>0</v>
      </c>
      <c r="J561" t="s">
        <v>47</v>
      </c>
      <c r="K561" t="s">
        <v>32</v>
      </c>
      <c r="L561">
        <v>58</v>
      </c>
      <c r="M561" t="str">
        <f t="shared" si="8"/>
        <v>Adolescent</v>
      </c>
      <c r="N561" t="s">
        <v>18</v>
      </c>
    </row>
    <row r="562" spans="1:14" x14ac:dyDescent="0.3">
      <c r="A562">
        <v>18577</v>
      </c>
      <c r="B562" t="s">
        <v>36</v>
      </c>
      <c r="C562" t="s">
        <v>39</v>
      </c>
      <c r="D562">
        <v>60000</v>
      </c>
      <c r="E562">
        <v>0</v>
      </c>
      <c r="F562" t="s">
        <v>31</v>
      </c>
      <c r="G562" t="s">
        <v>21</v>
      </c>
      <c r="H562" t="s">
        <v>15</v>
      </c>
      <c r="I562">
        <v>0</v>
      </c>
      <c r="J562" t="s">
        <v>16</v>
      </c>
      <c r="K562" t="s">
        <v>32</v>
      </c>
      <c r="L562">
        <v>40</v>
      </c>
      <c r="M562" t="str">
        <f t="shared" si="8"/>
        <v>Old</v>
      </c>
      <c r="N562" t="s">
        <v>18</v>
      </c>
    </row>
    <row r="563" spans="1:14" x14ac:dyDescent="0.3">
      <c r="A563">
        <v>27218</v>
      </c>
      <c r="B563" t="s">
        <v>36</v>
      </c>
      <c r="C563" t="s">
        <v>39</v>
      </c>
      <c r="D56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v>70000</v>
      </c>
      <c r="E564">
        <v>2</v>
      </c>
      <c r="F564" t="s">
        <v>31</v>
      </c>
      <c r="G564" t="s">
        <v>21</v>
      </c>
      <c r="H564" t="s">
        <v>15</v>
      </c>
      <c r="I564">
        <v>0</v>
      </c>
      <c r="J564" t="s">
        <v>22</v>
      </c>
      <c r="K564" t="s">
        <v>32</v>
      </c>
      <c r="L564">
        <v>34</v>
      </c>
      <c r="M564" t="str">
        <f t="shared" si="8"/>
        <v>Old</v>
      </c>
      <c r="N564" t="s">
        <v>15</v>
      </c>
    </row>
    <row r="565" spans="1:14" x14ac:dyDescent="0.3">
      <c r="A565">
        <v>25006</v>
      </c>
      <c r="B565" t="s">
        <v>38</v>
      </c>
      <c r="C565" t="s">
        <v>39</v>
      </c>
      <c r="D565">
        <v>30000</v>
      </c>
      <c r="E565">
        <v>0</v>
      </c>
      <c r="F565" t="s">
        <v>19</v>
      </c>
      <c r="G565" t="s">
        <v>14</v>
      </c>
      <c r="H565" t="s">
        <v>15</v>
      </c>
      <c r="I565">
        <v>1</v>
      </c>
      <c r="J565" t="s">
        <v>23</v>
      </c>
      <c r="K565" t="s">
        <v>32</v>
      </c>
      <c r="L565">
        <v>28</v>
      </c>
      <c r="M565" t="str">
        <f t="shared" si="8"/>
        <v>Middle Age</v>
      </c>
      <c r="N565" t="s">
        <v>18</v>
      </c>
    </row>
    <row r="566" spans="1:14" x14ac:dyDescent="0.3">
      <c r="A566">
        <v>17369</v>
      </c>
      <c r="B566" t="s">
        <v>38</v>
      </c>
      <c r="C566" t="s">
        <v>40</v>
      </c>
      <c r="D566">
        <v>30000</v>
      </c>
      <c r="E566">
        <v>0</v>
      </c>
      <c r="F566" t="s">
        <v>19</v>
      </c>
      <c r="G566" t="s">
        <v>14</v>
      </c>
      <c r="H566" t="s">
        <v>15</v>
      </c>
      <c r="I566">
        <v>1</v>
      </c>
      <c r="J566" t="s">
        <v>23</v>
      </c>
      <c r="K566" t="s">
        <v>32</v>
      </c>
      <c r="L566">
        <v>27</v>
      </c>
      <c r="M566" t="str">
        <f t="shared" si="8"/>
        <v>Middle Age</v>
      </c>
      <c r="N566" t="s">
        <v>18</v>
      </c>
    </row>
    <row r="567" spans="1:14" x14ac:dyDescent="0.3">
      <c r="A567">
        <v>14495</v>
      </c>
      <c r="B567" t="s">
        <v>36</v>
      </c>
      <c r="C567" t="s">
        <v>40</v>
      </c>
      <c r="D567">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v>60000</v>
      </c>
      <c r="E568">
        <v>2</v>
      </c>
      <c r="F568" t="s">
        <v>31</v>
      </c>
      <c r="G568" t="s">
        <v>28</v>
      </c>
      <c r="H568" t="s">
        <v>15</v>
      </c>
      <c r="I568">
        <v>2</v>
      </c>
      <c r="J568" t="s">
        <v>23</v>
      </c>
      <c r="K568" t="s">
        <v>32</v>
      </c>
      <c r="L568">
        <v>70</v>
      </c>
      <c r="M568" t="str">
        <f t="shared" si="8"/>
        <v>Middle Age</v>
      </c>
      <c r="N568" t="s">
        <v>18</v>
      </c>
    </row>
    <row r="569" spans="1:14" x14ac:dyDescent="0.3">
      <c r="A569">
        <v>14754</v>
      </c>
      <c r="B569" t="s">
        <v>36</v>
      </c>
      <c r="C569" t="s">
        <v>40</v>
      </c>
      <c r="D569">
        <v>40000</v>
      </c>
      <c r="E569">
        <v>1</v>
      </c>
      <c r="F569" t="s">
        <v>19</v>
      </c>
      <c r="G569" t="s">
        <v>20</v>
      </c>
      <c r="H569" t="s">
        <v>15</v>
      </c>
      <c r="I569">
        <v>1</v>
      </c>
      <c r="J569" t="s">
        <v>26</v>
      </c>
      <c r="K569" t="s">
        <v>32</v>
      </c>
      <c r="L569">
        <v>48</v>
      </c>
      <c r="M569" t="str">
        <f t="shared" si="8"/>
        <v>Old</v>
      </c>
      <c r="N569" t="s">
        <v>15</v>
      </c>
    </row>
    <row r="570" spans="1:14" x14ac:dyDescent="0.3">
      <c r="A570">
        <v>23378</v>
      </c>
      <c r="B570" t="s">
        <v>36</v>
      </c>
      <c r="C570" t="s">
        <v>40</v>
      </c>
      <c r="D570">
        <v>70000</v>
      </c>
      <c r="E570">
        <v>1</v>
      </c>
      <c r="F570" t="s">
        <v>19</v>
      </c>
      <c r="G570" t="s">
        <v>14</v>
      </c>
      <c r="H570" t="s">
        <v>15</v>
      </c>
      <c r="I570">
        <v>1</v>
      </c>
      <c r="J570" t="s">
        <v>22</v>
      </c>
      <c r="K570" t="s">
        <v>32</v>
      </c>
      <c r="L570">
        <v>44</v>
      </c>
      <c r="M570" t="str">
        <f t="shared" si="8"/>
        <v>Adolescent</v>
      </c>
      <c r="N570" t="s">
        <v>15</v>
      </c>
    </row>
    <row r="571" spans="1:14" x14ac:dyDescent="0.3">
      <c r="A571">
        <v>26452</v>
      </c>
      <c r="B571" t="s">
        <v>38</v>
      </c>
      <c r="C571" t="s">
        <v>40</v>
      </c>
      <c r="D571">
        <v>50000</v>
      </c>
      <c r="E571">
        <v>3</v>
      </c>
      <c r="F571" t="s">
        <v>31</v>
      </c>
      <c r="G571" t="s">
        <v>28</v>
      </c>
      <c r="H571" t="s">
        <v>15</v>
      </c>
      <c r="I571">
        <v>2</v>
      </c>
      <c r="J571" t="s">
        <v>47</v>
      </c>
      <c r="K571" t="s">
        <v>32</v>
      </c>
      <c r="L571">
        <v>69</v>
      </c>
      <c r="M571" t="str">
        <f t="shared" si="8"/>
        <v>Middle Age</v>
      </c>
      <c r="N571" t="s">
        <v>18</v>
      </c>
    </row>
    <row r="572" spans="1:14" x14ac:dyDescent="0.3">
      <c r="A572">
        <v>20370</v>
      </c>
      <c r="B572" t="s">
        <v>36</v>
      </c>
      <c r="C572" t="s">
        <v>40</v>
      </c>
      <c r="D572">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40</v>
      </c>
      <c r="D573">
        <v>40000</v>
      </c>
      <c r="E573">
        <v>2</v>
      </c>
      <c r="F573" t="s">
        <v>29</v>
      </c>
      <c r="G573" t="s">
        <v>14</v>
      </c>
      <c r="H573" t="s">
        <v>15</v>
      </c>
      <c r="I573">
        <v>2</v>
      </c>
      <c r="J573" t="s">
        <v>22</v>
      </c>
      <c r="K573" t="s">
        <v>32</v>
      </c>
      <c r="L573">
        <v>55</v>
      </c>
      <c r="M573" t="str">
        <f t="shared" si="8"/>
        <v>Middle Age</v>
      </c>
      <c r="N573" t="s">
        <v>18</v>
      </c>
    </row>
    <row r="574" spans="1:14" x14ac:dyDescent="0.3">
      <c r="A574">
        <v>23549</v>
      </c>
      <c r="B574" t="s">
        <v>38</v>
      </c>
      <c r="C574" t="s">
        <v>40</v>
      </c>
      <c r="D574">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40</v>
      </c>
      <c r="D575">
        <v>60000</v>
      </c>
      <c r="E575">
        <v>3</v>
      </c>
      <c r="F575" t="s">
        <v>31</v>
      </c>
      <c r="G575" t="s">
        <v>28</v>
      </c>
      <c r="H575" t="s">
        <v>15</v>
      </c>
      <c r="I575">
        <v>2</v>
      </c>
      <c r="J575" t="s">
        <v>26</v>
      </c>
      <c r="K575" t="s">
        <v>32</v>
      </c>
      <c r="L575">
        <v>63</v>
      </c>
      <c r="M575" t="str">
        <f t="shared" si="8"/>
        <v>Middle Age</v>
      </c>
      <c r="N575" t="s">
        <v>18</v>
      </c>
    </row>
    <row r="576" spans="1:14" x14ac:dyDescent="0.3">
      <c r="A576">
        <v>21266</v>
      </c>
      <c r="B576" t="s">
        <v>38</v>
      </c>
      <c r="C576" t="s">
        <v>39</v>
      </c>
      <c r="D576">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40</v>
      </c>
      <c r="D577">
        <v>60000</v>
      </c>
      <c r="E577">
        <v>2</v>
      </c>
      <c r="F577" t="s">
        <v>19</v>
      </c>
      <c r="G577" t="s">
        <v>21</v>
      </c>
      <c r="H577" t="s">
        <v>15</v>
      </c>
      <c r="I577">
        <v>1</v>
      </c>
      <c r="J577" t="s">
        <v>47</v>
      </c>
      <c r="K577" t="s">
        <v>32</v>
      </c>
      <c r="L577">
        <v>56</v>
      </c>
      <c r="M577" t="str">
        <f t="shared" si="8"/>
        <v>Middle Age</v>
      </c>
      <c r="N577" t="s">
        <v>18</v>
      </c>
    </row>
    <row r="578" spans="1:14" x14ac:dyDescent="0.3">
      <c r="A578">
        <v>18752</v>
      </c>
      <c r="B578" t="s">
        <v>38</v>
      </c>
      <c r="C578" t="s">
        <v>39</v>
      </c>
      <c r="D578">
        <v>40000</v>
      </c>
      <c r="E578">
        <v>0</v>
      </c>
      <c r="F578" t="s">
        <v>27</v>
      </c>
      <c r="G578" t="s">
        <v>14</v>
      </c>
      <c r="H578" t="s">
        <v>15</v>
      </c>
      <c r="I578">
        <v>1</v>
      </c>
      <c r="J578" t="s">
        <v>23</v>
      </c>
      <c r="K578" t="s">
        <v>32</v>
      </c>
      <c r="L578">
        <v>31</v>
      </c>
      <c r="M578" t="str">
        <f t="shared" si="8"/>
        <v>Old</v>
      </c>
      <c r="N578" t="s">
        <v>18</v>
      </c>
    </row>
    <row r="579" spans="1:14" x14ac:dyDescent="0.3">
      <c r="A579">
        <v>16917</v>
      </c>
      <c r="B579" t="s">
        <v>36</v>
      </c>
      <c r="C579" t="s">
        <v>40</v>
      </c>
      <c r="D579">
        <v>120000</v>
      </c>
      <c r="E579">
        <v>1</v>
      </c>
      <c r="F579" t="s">
        <v>13</v>
      </c>
      <c r="G579" t="s">
        <v>28</v>
      </c>
      <c r="H579" t="s">
        <v>15</v>
      </c>
      <c r="I579">
        <v>4</v>
      </c>
      <c r="J579" t="s">
        <v>16</v>
      </c>
      <c r="K579" t="s">
        <v>32</v>
      </c>
      <c r="L579">
        <v>38</v>
      </c>
      <c r="M579" t="str">
        <f t="shared" ref="M579:M642" si="9">IF(L592&gt;54, "Old", IF(L592&gt;=31, "Middle Age", IF(L592&lt;31, "Adolescent", "Invalid")))</f>
        <v>Middle Age</v>
      </c>
      <c r="N579" t="s">
        <v>18</v>
      </c>
    </row>
    <row r="580" spans="1:14" x14ac:dyDescent="0.3">
      <c r="A580">
        <v>15313</v>
      </c>
      <c r="B580" t="s">
        <v>36</v>
      </c>
      <c r="C580" t="s">
        <v>40</v>
      </c>
      <c r="D580">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v>60000</v>
      </c>
      <c r="E582">
        <v>3</v>
      </c>
      <c r="F582" t="s">
        <v>31</v>
      </c>
      <c r="G582" t="s">
        <v>28</v>
      </c>
      <c r="H582" t="s">
        <v>15</v>
      </c>
      <c r="I582">
        <v>2</v>
      </c>
      <c r="J582" t="s">
        <v>47</v>
      </c>
      <c r="K582" t="s">
        <v>32</v>
      </c>
      <c r="L582">
        <v>69</v>
      </c>
      <c r="M582" t="str">
        <f t="shared" si="9"/>
        <v>Middle Age</v>
      </c>
      <c r="N582" t="s">
        <v>18</v>
      </c>
    </row>
    <row r="583" spans="1:14" x14ac:dyDescent="0.3">
      <c r="A583">
        <v>23089</v>
      </c>
      <c r="B583" t="s">
        <v>36</v>
      </c>
      <c r="C583" t="s">
        <v>40</v>
      </c>
      <c r="D583">
        <v>40000</v>
      </c>
      <c r="E583">
        <v>0</v>
      </c>
      <c r="F583" t="s">
        <v>19</v>
      </c>
      <c r="G583" t="s">
        <v>14</v>
      </c>
      <c r="H583" t="s">
        <v>15</v>
      </c>
      <c r="I583">
        <v>1</v>
      </c>
      <c r="J583" t="s">
        <v>23</v>
      </c>
      <c r="K583" t="s">
        <v>32</v>
      </c>
      <c r="L583">
        <v>28</v>
      </c>
      <c r="M583" t="str">
        <f t="shared" si="9"/>
        <v>Old</v>
      </c>
      <c r="N583" t="s">
        <v>18</v>
      </c>
    </row>
    <row r="584" spans="1:14" x14ac:dyDescent="0.3">
      <c r="A584">
        <v>13749</v>
      </c>
      <c r="B584" t="s">
        <v>36</v>
      </c>
      <c r="C584" t="s">
        <v>40</v>
      </c>
      <c r="D584">
        <v>80000</v>
      </c>
      <c r="E584">
        <v>4</v>
      </c>
      <c r="F584" t="s">
        <v>31</v>
      </c>
      <c r="G584" t="s">
        <v>14</v>
      </c>
      <c r="H584" t="s">
        <v>15</v>
      </c>
      <c r="I584">
        <v>0</v>
      </c>
      <c r="J584" t="s">
        <v>26</v>
      </c>
      <c r="K584" t="s">
        <v>32</v>
      </c>
      <c r="L584">
        <v>47</v>
      </c>
      <c r="M584" t="str">
        <f t="shared" si="9"/>
        <v>Old</v>
      </c>
      <c r="N584" t="s">
        <v>18</v>
      </c>
    </row>
    <row r="585" spans="1:14" x14ac:dyDescent="0.3">
      <c r="A585">
        <v>24943</v>
      </c>
      <c r="B585" t="s">
        <v>36</v>
      </c>
      <c r="C585" t="s">
        <v>40</v>
      </c>
      <c r="D585">
        <v>60000</v>
      </c>
      <c r="E585">
        <v>3</v>
      </c>
      <c r="F585" t="s">
        <v>13</v>
      </c>
      <c r="G585" t="s">
        <v>28</v>
      </c>
      <c r="H585" t="s">
        <v>15</v>
      </c>
      <c r="I585">
        <v>2</v>
      </c>
      <c r="J585" t="s">
        <v>47</v>
      </c>
      <c r="K585" t="s">
        <v>32</v>
      </c>
      <c r="L585">
        <v>66</v>
      </c>
      <c r="M585" t="str">
        <f t="shared" si="9"/>
        <v>Middle Age</v>
      </c>
      <c r="N585" t="s">
        <v>18</v>
      </c>
    </row>
    <row r="586" spans="1:14" x14ac:dyDescent="0.3">
      <c r="A586">
        <v>28667</v>
      </c>
      <c r="B586" t="s">
        <v>38</v>
      </c>
      <c r="C586" t="s">
        <v>40</v>
      </c>
      <c r="D586">
        <v>70000</v>
      </c>
      <c r="E586">
        <v>2</v>
      </c>
      <c r="F586" t="s">
        <v>13</v>
      </c>
      <c r="G586" t="s">
        <v>14</v>
      </c>
      <c r="H586" t="s">
        <v>18</v>
      </c>
      <c r="I586">
        <v>1</v>
      </c>
      <c r="J586" t="s">
        <v>16</v>
      </c>
      <c r="K586" t="s">
        <v>32</v>
      </c>
      <c r="L586">
        <v>37</v>
      </c>
      <c r="M586" t="str">
        <f t="shared" si="9"/>
        <v>Old</v>
      </c>
      <c r="N586" t="s">
        <v>15</v>
      </c>
    </row>
    <row r="587" spans="1:14" x14ac:dyDescent="0.3">
      <c r="A587">
        <v>15194</v>
      </c>
      <c r="B587" t="s">
        <v>38</v>
      </c>
      <c r="C587" t="s">
        <v>40</v>
      </c>
      <c r="D587">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40</v>
      </c>
      <c r="D588">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39</v>
      </c>
      <c r="D589">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40</v>
      </c>
      <c r="D591">
        <v>60000</v>
      </c>
      <c r="E591">
        <v>2</v>
      </c>
      <c r="F591" t="s">
        <v>13</v>
      </c>
      <c r="G591" t="s">
        <v>28</v>
      </c>
      <c r="H591" t="s">
        <v>15</v>
      </c>
      <c r="I591">
        <v>0</v>
      </c>
      <c r="J591" t="s">
        <v>47</v>
      </c>
      <c r="K591" t="s">
        <v>32</v>
      </c>
      <c r="L591">
        <v>57</v>
      </c>
      <c r="M591" t="str">
        <f t="shared" si="9"/>
        <v>Middle Age</v>
      </c>
      <c r="N591" t="s">
        <v>18</v>
      </c>
    </row>
    <row r="592" spans="1:14" x14ac:dyDescent="0.3">
      <c r="A592">
        <v>23158</v>
      </c>
      <c r="B592" t="s">
        <v>36</v>
      </c>
      <c r="C592" t="s">
        <v>39</v>
      </c>
      <c r="D592">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40</v>
      </c>
      <c r="D593">
        <v>40000</v>
      </c>
      <c r="E593">
        <v>4</v>
      </c>
      <c r="F593" t="s">
        <v>27</v>
      </c>
      <c r="G593" t="s">
        <v>21</v>
      </c>
      <c r="H593" t="s">
        <v>18</v>
      </c>
      <c r="I593">
        <v>2</v>
      </c>
      <c r="J593" t="s">
        <v>47</v>
      </c>
      <c r="K593" t="s">
        <v>32</v>
      </c>
      <c r="L593">
        <v>61</v>
      </c>
      <c r="M593" t="str">
        <f t="shared" si="9"/>
        <v>Adolescent</v>
      </c>
      <c r="N593" t="s">
        <v>15</v>
      </c>
    </row>
    <row r="594" spans="1:14" x14ac:dyDescent="0.3">
      <c r="A594">
        <v>18391</v>
      </c>
      <c r="B594" t="s">
        <v>38</v>
      </c>
      <c r="C594" t="s">
        <v>39</v>
      </c>
      <c r="D594">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40</v>
      </c>
      <c r="D596">
        <v>80000</v>
      </c>
      <c r="E596">
        <v>4</v>
      </c>
      <c r="F596" t="s">
        <v>31</v>
      </c>
      <c r="G596" t="s">
        <v>28</v>
      </c>
      <c r="H596" t="s">
        <v>15</v>
      </c>
      <c r="I596">
        <v>2</v>
      </c>
      <c r="J596" t="s">
        <v>23</v>
      </c>
      <c r="K596" t="s">
        <v>32</v>
      </c>
      <c r="L596">
        <v>70</v>
      </c>
      <c r="M596" t="str">
        <f t="shared" si="9"/>
        <v>Middle Age</v>
      </c>
      <c r="N596" t="s">
        <v>18</v>
      </c>
    </row>
    <row r="597" spans="1:14" x14ac:dyDescent="0.3">
      <c r="A597">
        <v>18058</v>
      </c>
      <c r="B597" t="s">
        <v>38</v>
      </c>
      <c r="C597" t="s">
        <v>39</v>
      </c>
      <c r="D597">
        <v>20000</v>
      </c>
      <c r="E597">
        <v>3</v>
      </c>
      <c r="F597" t="s">
        <v>27</v>
      </c>
      <c r="G597" t="s">
        <v>14</v>
      </c>
      <c r="H597" t="s">
        <v>15</v>
      </c>
      <c r="I597">
        <v>2</v>
      </c>
      <c r="J597" t="s">
        <v>22</v>
      </c>
      <c r="K597" t="s">
        <v>32</v>
      </c>
      <c r="L597">
        <v>78</v>
      </c>
      <c r="M597" t="str">
        <f t="shared" si="9"/>
        <v>Middle Age</v>
      </c>
      <c r="N597" t="s">
        <v>18</v>
      </c>
    </row>
    <row r="598" spans="1:14" x14ac:dyDescent="0.3">
      <c r="A598">
        <v>20343</v>
      </c>
      <c r="B598" t="s">
        <v>36</v>
      </c>
      <c r="C598" t="s">
        <v>39</v>
      </c>
      <c r="D598">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40</v>
      </c>
      <c r="D599">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40</v>
      </c>
      <c r="D600">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v>60000</v>
      </c>
      <c r="E601">
        <v>2</v>
      </c>
      <c r="F601" t="s">
        <v>19</v>
      </c>
      <c r="G601" t="s">
        <v>21</v>
      </c>
      <c r="H601" t="s">
        <v>15</v>
      </c>
      <c r="I601">
        <v>1</v>
      </c>
      <c r="J601" t="s">
        <v>22</v>
      </c>
      <c r="K601" t="s">
        <v>32</v>
      </c>
      <c r="L601">
        <v>57</v>
      </c>
      <c r="M601" t="str">
        <f t="shared" si="9"/>
        <v>Adolescent</v>
      </c>
      <c r="N601" t="s">
        <v>15</v>
      </c>
    </row>
    <row r="602" spans="1:14" x14ac:dyDescent="0.3">
      <c r="A602">
        <v>28609</v>
      </c>
      <c r="B602" t="s">
        <v>36</v>
      </c>
      <c r="C602" t="s">
        <v>40</v>
      </c>
      <c r="D602">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40</v>
      </c>
      <c r="D60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40</v>
      </c>
      <c r="D60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40</v>
      </c>
      <c r="D60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40</v>
      </c>
      <c r="D606">
        <v>40000</v>
      </c>
      <c r="E606">
        <v>0</v>
      </c>
      <c r="F606" t="s">
        <v>27</v>
      </c>
      <c r="G606" t="s">
        <v>14</v>
      </c>
      <c r="H606" t="s">
        <v>15</v>
      </c>
      <c r="I606">
        <v>2</v>
      </c>
      <c r="J606" t="s">
        <v>23</v>
      </c>
      <c r="K606" t="s">
        <v>32</v>
      </c>
      <c r="L606">
        <v>27</v>
      </c>
      <c r="M606" t="str">
        <f t="shared" si="9"/>
        <v>Middle Age</v>
      </c>
      <c r="N606" t="s">
        <v>18</v>
      </c>
    </row>
    <row r="607" spans="1:14" x14ac:dyDescent="0.3">
      <c r="A607">
        <v>17458</v>
      </c>
      <c r="B607" t="s">
        <v>38</v>
      </c>
      <c r="C607" t="s">
        <v>40</v>
      </c>
      <c r="D607">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40</v>
      </c>
      <c r="D608">
        <v>40000</v>
      </c>
      <c r="E608">
        <v>2</v>
      </c>
      <c r="F608" t="s">
        <v>13</v>
      </c>
      <c r="G608" t="s">
        <v>14</v>
      </c>
      <c r="H608" t="s">
        <v>15</v>
      </c>
      <c r="I608">
        <v>0</v>
      </c>
      <c r="J608" t="s">
        <v>22</v>
      </c>
      <c r="K608" t="s">
        <v>32</v>
      </c>
      <c r="L608">
        <v>36</v>
      </c>
      <c r="M608" t="str">
        <f t="shared" si="9"/>
        <v>Adolescent</v>
      </c>
      <c r="N608" t="s">
        <v>18</v>
      </c>
    </row>
    <row r="609" spans="1:14" x14ac:dyDescent="0.3">
      <c r="A609">
        <v>16145</v>
      </c>
      <c r="B609" t="s">
        <v>38</v>
      </c>
      <c r="C609" t="s">
        <v>39</v>
      </c>
      <c r="D609">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40</v>
      </c>
      <c r="D610">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40</v>
      </c>
      <c r="D61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40</v>
      </c>
      <c r="D612">
        <v>60000</v>
      </c>
      <c r="E612">
        <v>1</v>
      </c>
      <c r="F612" t="s">
        <v>19</v>
      </c>
      <c r="G612" t="s">
        <v>14</v>
      </c>
      <c r="H612" t="s">
        <v>15</v>
      </c>
      <c r="I612">
        <v>1</v>
      </c>
      <c r="J612" t="s">
        <v>22</v>
      </c>
      <c r="K612" t="s">
        <v>32</v>
      </c>
      <c r="L612">
        <v>44</v>
      </c>
      <c r="M612" t="str">
        <f t="shared" si="9"/>
        <v>Old</v>
      </c>
      <c r="N612" t="s">
        <v>18</v>
      </c>
    </row>
    <row r="613" spans="1:14" x14ac:dyDescent="0.3">
      <c r="A613">
        <v>22994</v>
      </c>
      <c r="B613" t="s">
        <v>36</v>
      </c>
      <c r="C613" t="s">
        <v>39</v>
      </c>
      <c r="D613">
        <v>80000</v>
      </c>
      <c r="E613">
        <v>0</v>
      </c>
      <c r="F613" t="s">
        <v>13</v>
      </c>
      <c r="G613" t="s">
        <v>28</v>
      </c>
      <c r="H613" t="s">
        <v>15</v>
      </c>
      <c r="I613">
        <v>1</v>
      </c>
      <c r="J613" t="s">
        <v>26</v>
      </c>
      <c r="K613" t="s">
        <v>32</v>
      </c>
      <c r="L613">
        <v>34</v>
      </c>
      <c r="M613" t="str">
        <f t="shared" si="9"/>
        <v>Adolescent</v>
      </c>
      <c r="N613" t="s">
        <v>15</v>
      </c>
    </row>
    <row r="614" spans="1:14" x14ac:dyDescent="0.3">
      <c r="A614">
        <v>22983</v>
      </c>
      <c r="B614" t="s">
        <v>38</v>
      </c>
      <c r="C614" t="s">
        <v>39</v>
      </c>
      <c r="D614">
        <v>30000</v>
      </c>
      <c r="E614">
        <v>0</v>
      </c>
      <c r="F614" t="s">
        <v>29</v>
      </c>
      <c r="G614" t="s">
        <v>20</v>
      </c>
      <c r="H614" t="s">
        <v>15</v>
      </c>
      <c r="I614">
        <v>2</v>
      </c>
      <c r="J614" t="s">
        <v>23</v>
      </c>
      <c r="K614" t="s">
        <v>32</v>
      </c>
      <c r="L614">
        <v>27</v>
      </c>
      <c r="M614" t="str">
        <f t="shared" si="9"/>
        <v>Old</v>
      </c>
      <c r="N614" t="s">
        <v>18</v>
      </c>
    </row>
    <row r="615" spans="1:14" x14ac:dyDescent="0.3">
      <c r="A615">
        <v>25184</v>
      </c>
      <c r="B615" t="s">
        <v>38</v>
      </c>
      <c r="C615" t="s">
        <v>40</v>
      </c>
      <c r="D615">
        <v>110000</v>
      </c>
      <c r="E615">
        <v>1</v>
      </c>
      <c r="F615" t="s">
        <v>19</v>
      </c>
      <c r="G615" t="s">
        <v>21</v>
      </c>
      <c r="H615" t="s">
        <v>15</v>
      </c>
      <c r="I615">
        <v>4</v>
      </c>
      <c r="J615" t="s">
        <v>23</v>
      </c>
      <c r="K615" t="s">
        <v>32</v>
      </c>
      <c r="L615">
        <v>45</v>
      </c>
      <c r="M615" t="str">
        <f t="shared" si="9"/>
        <v>Adolescent</v>
      </c>
      <c r="N615" t="s">
        <v>15</v>
      </c>
    </row>
    <row r="616" spans="1:14" x14ac:dyDescent="0.3">
      <c r="A616">
        <v>14469</v>
      </c>
      <c r="B616" t="s">
        <v>36</v>
      </c>
      <c r="C616" t="s">
        <v>39</v>
      </c>
      <c r="D616">
        <v>100000</v>
      </c>
      <c r="E616">
        <v>3</v>
      </c>
      <c r="F616" t="s">
        <v>19</v>
      </c>
      <c r="G616" t="s">
        <v>21</v>
      </c>
      <c r="H616" t="s">
        <v>15</v>
      </c>
      <c r="I616">
        <v>4</v>
      </c>
      <c r="J616" t="s">
        <v>26</v>
      </c>
      <c r="K616" t="s">
        <v>32</v>
      </c>
      <c r="L616">
        <v>45</v>
      </c>
      <c r="M616" t="str">
        <f t="shared" si="9"/>
        <v>Old</v>
      </c>
      <c r="N616" t="s">
        <v>18</v>
      </c>
    </row>
    <row r="617" spans="1:14" x14ac:dyDescent="0.3">
      <c r="A617">
        <v>11538</v>
      </c>
      <c r="B617" t="s">
        <v>38</v>
      </c>
      <c r="C617" t="s">
        <v>39</v>
      </c>
      <c r="D617">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40</v>
      </c>
      <c r="D619">
        <v>40000</v>
      </c>
      <c r="E619">
        <v>4</v>
      </c>
      <c r="F619" t="s">
        <v>27</v>
      </c>
      <c r="G619" t="s">
        <v>14</v>
      </c>
      <c r="H619" t="s">
        <v>15</v>
      </c>
      <c r="I619">
        <v>2</v>
      </c>
      <c r="J619" t="s">
        <v>22</v>
      </c>
      <c r="K619" t="s">
        <v>32</v>
      </c>
      <c r="L619">
        <v>44</v>
      </c>
      <c r="M619" t="str">
        <f t="shared" si="9"/>
        <v>Adolescent</v>
      </c>
      <c r="N619" t="s">
        <v>15</v>
      </c>
    </row>
    <row r="620" spans="1:14" x14ac:dyDescent="0.3">
      <c r="A620">
        <v>25347</v>
      </c>
      <c r="B620" t="s">
        <v>38</v>
      </c>
      <c r="C620" t="s">
        <v>39</v>
      </c>
      <c r="D620">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39</v>
      </c>
      <c r="D622">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40</v>
      </c>
      <c r="D62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40</v>
      </c>
      <c r="D62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v>70000</v>
      </c>
      <c r="E625">
        <v>4</v>
      </c>
      <c r="F625" t="s">
        <v>19</v>
      </c>
      <c r="G625" t="s">
        <v>21</v>
      </c>
      <c r="H625" t="s">
        <v>15</v>
      </c>
      <c r="I625">
        <v>1</v>
      </c>
      <c r="J625" t="s">
        <v>26</v>
      </c>
      <c r="K625" t="s">
        <v>32</v>
      </c>
      <c r="L625">
        <v>55</v>
      </c>
      <c r="M625" t="str">
        <f t="shared" si="9"/>
        <v>Middle Age</v>
      </c>
      <c r="N625" t="s">
        <v>18</v>
      </c>
    </row>
    <row r="626" spans="1:14" x14ac:dyDescent="0.3">
      <c r="A626">
        <v>25943</v>
      </c>
      <c r="B626" t="s">
        <v>38</v>
      </c>
      <c r="C626" t="s">
        <v>39</v>
      </c>
      <c r="D626">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40</v>
      </c>
      <c r="D627">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v>60000</v>
      </c>
      <c r="E628">
        <v>0</v>
      </c>
      <c r="F628" t="s">
        <v>19</v>
      </c>
      <c r="G628" t="s">
        <v>14</v>
      </c>
      <c r="H628" t="s">
        <v>15</v>
      </c>
      <c r="I628">
        <v>2</v>
      </c>
      <c r="J628" t="s">
        <v>23</v>
      </c>
      <c r="K628" t="s">
        <v>32</v>
      </c>
      <c r="L628">
        <v>29</v>
      </c>
      <c r="M628" t="str">
        <f t="shared" si="9"/>
        <v>Old</v>
      </c>
      <c r="N628" t="s">
        <v>18</v>
      </c>
    </row>
    <row r="629" spans="1:14" x14ac:dyDescent="0.3">
      <c r="A629">
        <v>23672</v>
      </c>
      <c r="B629" t="s">
        <v>36</v>
      </c>
      <c r="C629" t="s">
        <v>39</v>
      </c>
      <c r="D629">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40</v>
      </c>
      <c r="D630">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39</v>
      </c>
      <c r="D63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40</v>
      </c>
      <c r="D632">
        <v>40000</v>
      </c>
      <c r="E632">
        <v>0</v>
      </c>
      <c r="F632" t="s">
        <v>27</v>
      </c>
      <c r="G632" t="s">
        <v>14</v>
      </c>
      <c r="H632" t="s">
        <v>18</v>
      </c>
      <c r="I632">
        <v>2</v>
      </c>
      <c r="J632" t="s">
        <v>26</v>
      </c>
      <c r="K632" t="s">
        <v>32</v>
      </c>
      <c r="L632">
        <v>30</v>
      </c>
      <c r="M632" t="str">
        <f t="shared" si="9"/>
        <v>Middle Age</v>
      </c>
      <c r="N632" t="s">
        <v>18</v>
      </c>
    </row>
    <row r="633" spans="1:14" x14ac:dyDescent="0.3">
      <c r="A633">
        <v>27643</v>
      </c>
      <c r="B633" t="s">
        <v>38</v>
      </c>
      <c r="C633" t="s">
        <v>40</v>
      </c>
      <c r="D63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40</v>
      </c>
      <c r="D636">
        <v>60000</v>
      </c>
      <c r="E636">
        <v>3</v>
      </c>
      <c r="F636" t="s">
        <v>13</v>
      </c>
      <c r="G636" t="s">
        <v>28</v>
      </c>
      <c r="H636" t="s">
        <v>18</v>
      </c>
      <c r="I636">
        <v>2</v>
      </c>
      <c r="J636" t="s">
        <v>26</v>
      </c>
      <c r="K636" t="s">
        <v>32</v>
      </c>
      <c r="L636">
        <v>66</v>
      </c>
      <c r="M636" t="str">
        <f t="shared" si="9"/>
        <v>Middle Age</v>
      </c>
      <c r="N636" t="s">
        <v>18</v>
      </c>
    </row>
    <row r="637" spans="1:14" x14ac:dyDescent="0.3">
      <c r="A637">
        <v>24745</v>
      </c>
      <c r="B637" t="s">
        <v>38</v>
      </c>
      <c r="C637" t="s">
        <v>39</v>
      </c>
      <c r="D637">
        <v>30000</v>
      </c>
      <c r="E637">
        <v>2</v>
      </c>
      <c r="F637" t="s">
        <v>27</v>
      </c>
      <c r="G637" t="s">
        <v>14</v>
      </c>
      <c r="H637" t="s">
        <v>18</v>
      </c>
      <c r="I637">
        <v>2</v>
      </c>
      <c r="J637" t="s">
        <v>16</v>
      </c>
      <c r="K637" t="s">
        <v>32</v>
      </c>
      <c r="L637">
        <v>49</v>
      </c>
      <c r="M637" t="str">
        <f t="shared" si="9"/>
        <v>Old</v>
      </c>
      <c r="N637" t="s">
        <v>18</v>
      </c>
    </row>
    <row r="638" spans="1:14" x14ac:dyDescent="0.3">
      <c r="A638">
        <v>29237</v>
      </c>
      <c r="B638" t="s">
        <v>38</v>
      </c>
      <c r="C638" t="s">
        <v>39</v>
      </c>
      <c r="D638">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40</v>
      </c>
      <c r="D639">
        <v>40000</v>
      </c>
      <c r="E639">
        <v>0</v>
      </c>
      <c r="F639" t="s">
        <v>27</v>
      </c>
      <c r="G639" t="s">
        <v>14</v>
      </c>
      <c r="H639" t="s">
        <v>18</v>
      </c>
      <c r="I639">
        <v>2</v>
      </c>
      <c r="J639" t="s">
        <v>26</v>
      </c>
      <c r="K639" t="s">
        <v>32</v>
      </c>
      <c r="L639">
        <v>30</v>
      </c>
      <c r="M639" t="str">
        <f t="shared" si="9"/>
        <v>Old</v>
      </c>
      <c r="N639" t="s">
        <v>18</v>
      </c>
    </row>
    <row r="640" spans="1:14" x14ac:dyDescent="0.3">
      <c r="A640">
        <v>18949</v>
      </c>
      <c r="B640" t="s">
        <v>38</v>
      </c>
      <c r="C640" t="s">
        <v>40</v>
      </c>
      <c r="D640">
        <v>70000</v>
      </c>
      <c r="E640">
        <v>0</v>
      </c>
      <c r="F640" t="s">
        <v>31</v>
      </c>
      <c r="G640" t="s">
        <v>28</v>
      </c>
      <c r="H640" t="s">
        <v>15</v>
      </c>
      <c r="I640">
        <v>2</v>
      </c>
      <c r="J640" t="s">
        <v>23</v>
      </c>
      <c r="K640" t="s">
        <v>32</v>
      </c>
      <c r="L640">
        <v>74</v>
      </c>
      <c r="M640" t="str">
        <f t="shared" si="9"/>
        <v>Middle Age</v>
      </c>
      <c r="N640" t="s">
        <v>15</v>
      </c>
    </row>
    <row r="641" spans="1:14" x14ac:dyDescent="0.3">
      <c r="A641">
        <v>14507</v>
      </c>
      <c r="B641" t="s">
        <v>36</v>
      </c>
      <c r="C641" t="s">
        <v>40</v>
      </c>
      <c r="D641">
        <v>100000</v>
      </c>
      <c r="E641">
        <v>2</v>
      </c>
      <c r="F641" t="s">
        <v>31</v>
      </c>
      <c r="G641" t="s">
        <v>28</v>
      </c>
      <c r="H641" t="s">
        <v>15</v>
      </c>
      <c r="I641">
        <v>3</v>
      </c>
      <c r="J641" t="s">
        <v>26</v>
      </c>
      <c r="K641" t="s">
        <v>32</v>
      </c>
      <c r="L641">
        <v>65</v>
      </c>
      <c r="M641" t="str">
        <f t="shared" si="9"/>
        <v>Middle Age</v>
      </c>
      <c r="N641" t="s">
        <v>18</v>
      </c>
    </row>
    <row r="642" spans="1:14" x14ac:dyDescent="0.3">
      <c r="A642">
        <v>25886</v>
      </c>
      <c r="B642" t="s">
        <v>36</v>
      </c>
      <c r="C642" t="s">
        <v>39</v>
      </c>
      <c r="D642">
        <v>60000</v>
      </c>
      <c r="E642">
        <v>2</v>
      </c>
      <c r="F642" t="s">
        <v>19</v>
      </c>
      <c r="G642" t="s">
        <v>21</v>
      </c>
      <c r="H642" t="s">
        <v>15</v>
      </c>
      <c r="I642">
        <v>2</v>
      </c>
      <c r="J642" t="s">
        <v>22</v>
      </c>
      <c r="K642" t="s">
        <v>32</v>
      </c>
      <c r="L642">
        <v>56</v>
      </c>
      <c r="M642" t="str">
        <f t="shared" si="9"/>
        <v>Middle Age</v>
      </c>
      <c r="N642" t="s">
        <v>15</v>
      </c>
    </row>
    <row r="643" spans="1:14" x14ac:dyDescent="0.3">
      <c r="A643">
        <v>21441</v>
      </c>
      <c r="B643" t="s">
        <v>36</v>
      </c>
      <c r="C643" t="s">
        <v>40</v>
      </c>
      <c r="D643">
        <v>50000</v>
      </c>
      <c r="E643">
        <v>4</v>
      </c>
      <c r="F643" t="s">
        <v>13</v>
      </c>
      <c r="G643" t="s">
        <v>28</v>
      </c>
      <c r="H643" t="s">
        <v>15</v>
      </c>
      <c r="I643">
        <v>2</v>
      </c>
      <c r="J643" t="s">
        <v>47</v>
      </c>
      <c r="K643" t="s">
        <v>32</v>
      </c>
      <c r="L643">
        <v>64</v>
      </c>
      <c r="M643" t="str">
        <f t="shared" ref="M643:M706" si="10">IF(L656&gt;54, "Old", IF(L656&gt;=31, "Middle Age", IF(L656&lt;31, "Adolescent", "Invalid")))</f>
        <v>Middle Age</v>
      </c>
      <c r="N643" t="s">
        <v>18</v>
      </c>
    </row>
    <row r="644" spans="1:14" x14ac:dyDescent="0.3">
      <c r="A644">
        <v>21741</v>
      </c>
      <c r="B644" t="s">
        <v>36</v>
      </c>
      <c r="C644" t="s">
        <v>39</v>
      </c>
      <c r="D64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39</v>
      </c>
      <c r="D647">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v>60000</v>
      </c>
      <c r="E648">
        <v>4</v>
      </c>
      <c r="F648" t="s">
        <v>31</v>
      </c>
      <c r="G648" t="s">
        <v>14</v>
      </c>
      <c r="H648" t="s">
        <v>18</v>
      </c>
      <c r="I648">
        <v>0</v>
      </c>
      <c r="J648" t="s">
        <v>26</v>
      </c>
      <c r="K648" t="s">
        <v>32</v>
      </c>
      <c r="L648">
        <v>47</v>
      </c>
      <c r="M648" t="str">
        <f t="shared" si="10"/>
        <v>Old</v>
      </c>
      <c r="N648" t="s">
        <v>18</v>
      </c>
    </row>
    <row r="649" spans="1:14" x14ac:dyDescent="0.3">
      <c r="A649">
        <v>22010</v>
      </c>
      <c r="B649" t="s">
        <v>38</v>
      </c>
      <c r="C649" t="s">
        <v>40</v>
      </c>
      <c r="D649">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v>70000</v>
      </c>
      <c r="E650">
        <v>2</v>
      </c>
      <c r="F650" t="s">
        <v>13</v>
      </c>
      <c r="G650" t="s">
        <v>28</v>
      </c>
      <c r="H650" t="s">
        <v>18</v>
      </c>
      <c r="I650">
        <v>1</v>
      </c>
      <c r="J650" t="s">
        <v>22</v>
      </c>
      <c r="K650" t="s">
        <v>32</v>
      </c>
      <c r="L650">
        <v>58</v>
      </c>
      <c r="M650" t="str">
        <f t="shared" si="10"/>
        <v>Adolescent</v>
      </c>
      <c r="N650" t="s">
        <v>15</v>
      </c>
    </row>
    <row r="651" spans="1:14" x14ac:dyDescent="0.3">
      <c r="A651">
        <v>19164</v>
      </c>
      <c r="B651" t="s">
        <v>38</v>
      </c>
      <c r="C651" t="s">
        <v>39</v>
      </c>
      <c r="D651">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v>70000</v>
      </c>
      <c r="E652">
        <v>5</v>
      </c>
      <c r="F652" t="s">
        <v>31</v>
      </c>
      <c r="G652" t="s">
        <v>28</v>
      </c>
      <c r="H652" t="s">
        <v>15</v>
      </c>
      <c r="I652">
        <v>2</v>
      </c>
      <c r="J652" t="s">
        <v>47</v>
      </c>
      <c r="K652" t="s">
        <v>32</v>
      </c>
      <c r="L652">
        <v>67</v>
      </c>
      <c r="M652" t="str">
        <f t="shared" si="10"/>
        <v>Middle Age</v>
      </c>
      <c r="N652" t="s">
        <v>15</v>
      </c>
    </row>
    <row r="653" spans="1:14" x14ac:dyDescent="0.3">
      <c r="A653">
        <v>14284</v>
      </c>
      <c r="B653" t="s">
        <v>38</v>
      </c>
      <c r="C653" t="s">
        <v>40</v>
      </c>
      <c r="D65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40</v>
      </c>
      <c r="D654">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40</v>
      </c>
      <c r="D655">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40</v>
      </c>
      <c r="D656">
        <v>40000</v>
      </c>
      <c r="E656">
        <v>0</v>
      </c>
      <c r="F656" t="s">
        <v>27</v>
      </c>
      <c r="G656" t="s">
        <v>14</v>
      </c>
      <c r="H656" t="s">
        <v>18</v>
      </c>
      <c r="I656">
        <v>2</v>
      </c>
      <c r="J656" t="s">
        <v>26</v>
      </c>
      <c r="K656" t="s">
        <v>32</v>
      </c>
      <c r="L656">
        <v>31</v>
      </c>
      <c r="M656" t="str">
        <f t="shared" si="10"/>
        <v>Old</v>
      </c>
      <c r="N656" t="s">
        <v>15</v>
      </c>
    </row>
    <row r="657" spans="1:14" x14ac:dyDescent="0.3">
      <c r="A657">
        <v>26236</v>
      </c>
      <c r="B657" t="s">
        <v>36</v>
      </c>
      <c r="C657" t="s">
        <v>39</v>
      </c>
      <c r="D657">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40</v>
      </c>
      <c r="D658">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40</v>
      </c>
      <c r="D659">
        <v>70000</v>
      </c>
      <c r="E659">
        <v>1</v>
      </c>
      <c r="F659" t="s">
        <v>19</v>
      </c>
      <c r="G659" t="s">
        <v>14</v>
      </c>
      <c r="H659" t="s">
        <v>15</v>
      </c>
      <c r="I659">
        <v>1</v>
      </c>
      <c r="J659" t="s">
        <v>16</v>
      </c>
      <c r="K659" t="s">
        <v>32</v>
      </c>
      <c r="L659">
        <v>44</v>
      </c>
      <c r="M659" t="str">
        <f t="shared" si="10"/>
        <v>Old</v>
      </c>
      <c r="N659" t="s">
        <v>18</v>
      </c>
    </row>
    <row r="660" spans="1:14" x14ac:dyDescent="0.3">
      <c r="A660">
        <v>19133</v>
      </c>
      <c r="B660" t="s">
        <v>38</v>
      </c>
      <c r="C660" t="s">
        <v>40</v>
      </c>
      <c r="D660">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v>60000</v>
      </c>
      <c r="E661">
        <v>4</v>
      </c>
      <c r="F661" t="s">
        <v>13</v>
      </c>
      <c r="G661" t="s">
        <v>28</v>
      </c>
      <c r="H661" t="s">
        <v>15</v>
      </c>
      <c r="I661">
        <v>2</v>
      </c>
      <c r="J661" t="s">
        <v>47</v>
      </c>
      <c r="K661" t="s">
        <v>32</v>
      </c>
      <c r="L661">
        <v>63</v>
      </c>
      <c r="M661" t="str">
        <f t="shared" si="10"/>
        <v>Adolescent</v>
      </c>
      <c r="N661" t="s">
        <v>18</v>
      </c>
    </row>
    <row r="662" spans="1:14" x14ac:dyDescent="0.3">
      <c r="A662">
        <v>21599</v>
      </c>
      <c r="B662" t="s">
        <v>36</v>
      </c>
      <c r="C662" t="s">
        <v>39</v>
      </c>
      <c r="D662">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40</v>
      </c>
      <c r="D663">
        <v>40000</v>
      </c>
      <c r="E663">
        <v>0</v>
      </c>
      <c r="F663" t="s">
        <v>27</v>
      </c>
      <c r="G663" t="s">
        <v>14</v>
      </c>
      <c r="H663" t="s">
        <v>18</v>
      </c>
      <c r="I663">
        <v>2</v>
      </c>
      <c r="J663" t="s">
        <v>16</v>
      </c>
      <c r="K663" t="s">
        <v>32</v>
      </c>
      <c r="L663">
        <v>28</v>
      </c>
      <c r="M663" t="str">
        <f t="shared" si="10"/>
        <v>Middle Age</v>
      </c>
      <c r="N663" t="s">
        <v>15</v>
      </c>
    </row>
    <row r="664" spans="1:14" x14ac:dyDescent="0.3">
      <c r="A664">
        <v>27637</v>
      </c>
      <c r="B664" t="s">
        <v>38</v>
      </c>
      <c r="C664" t="s">
        <v>39</v>
      </c>
      <c r="D66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40</v>
      </c>
      <c r="D667">
        <v>130000</v>
      </c>
      <c r="E667">
        <v>1</v>
      </c>
      <c r="F667" t="s">
        <v>31</v>
      </c>
      <c r="G667" t="s">
        <v>28</v>
      </c>
      <c r="H667" t="s">
        <v>15</v>
      </c>
      <c r="I667">
        <v>4</v>
      </c>
      <c r="J667" t="s">
        <v>16</v>
      </c>
      <c r="K667" t="s">
        <v>32</v>
      </c>
      <c r="L667">
        <v>40</v>
      </c>
      <c r="M667" t="str">
        <f t="shared" si="10"/>
        <v>Old</v>
      </c>
      <c r="N667" t="s">
        <v>18</v>
      </c>
    </row>
    <row r="668" spans="1:14" x14ac:dyDescent="0.3">
      <c r="A668">
        <v>17864</v>
      </c>
      <c r="B668" t="s">
        <v>36</v>
      </c>
      <c r="C668" t="s">
        <v>39</v>
      </c>
      <c r="D668">
        <v>60000</v>
      </c>
      <c r="E668">
        <v>1</v>
      </c>
      <c r="F668" t="s">
        <v>19</v>
      </c>
      <c r="G668" t="s">
        <v>14</v>
      </c>
      <c r="H668" t="s">
        <v>15</v>
      </c>
      <c r="I668">
        <v>1</v>
      </c>
      <c r="J668" t="s">
        <v>22</v>
      </c>
      <c r="K668" t="s">
        <v>32</v>
      </c>
      <c r="L668">
        <v>46</v>
      </c>
      <c r="M668" t="str">
        <f t="shared" si="10"/>
        <v>Old</v>
      </c>
      <c r="N668" t="s">
        <v>15</v>
      </c>
    </row>
    <row r="669" spans="1:14" x14ac:dyDescent="0.3">
      <c r="A669">
        <v>20505</v>
      </c>
      <c r="B669" t="s">
        <v>36</v>
      </c>
      <c r="C669" t="s">
        <v>39</v>
      </c>
      <c r="D669">
        <v>40000</v>
      </c>
      <c r="E669">
        <v>5</v>
      </c>
      <c r="F669" t="s">
        <v>27</v>
      </c>
      <c r="G669" t="s">
        <v>21</v>
      </c>
      <c r="H669" t="s">
        <v>18</v>
      </c>
      <c r="I669">
        <v>2</v>
      </c>
      <c r="J669" t="s">
        <v>47</v>
      </c>
      <c r="K669" t="s">
        <v>32</v>
      </c>
      <c r="L669">
        <v>61</v>
      </c>
      <c r="M669" t="str">
        <f t="shared" si="10"/>
        <v>Middle Age</v>
      </c>
      <c r="N669" t="s">
        <v>18</v>
      </c>
    </row>
    <row r="670" spans="1:14" x14ac:dyDescent="0.3">
      <c r="A670">
        <v>14592</v>
      </c>
      <c r="B670" t="s">
        <v>36</v>
      </c>
      <c r="C670" t="s">
        <v>39</v>
      </c>
      <c r="D670">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40</v>
      </c>
      <c r="D672">
        <v>70000</v>
      </c>
      <c r="E672">
        <v>2</v>
      </c>
      <c r="F672" t="s">
        <v>19</v>
      </c>
      <c r="G672" t="s">
        <v>21</v>
      </c>
      <c r="H672" t="s">
        <v>15</v>
      </c>
      <c r="I672">
        <v>1</v>
      </c>
      <c r="J672" t="s">
        <v>47</v>
      </c>
      <c r="K672" t="s">
        <v>32</v>
      </c>
      <c r="L672">
        <v>59</v>
      </c>
      <c r="M672" t="str">
        <f t="shared" si="10"/>
        <v>Middle Age</v>
      </c>
      <c r="N672" t="s">
        <v>18</v>
      </c>
    </row>
    <row r="673" spans="1:14" x14ac:dyDescent="0.3">
      <c r="A673">
        <v>22252</v>
      </c>
      <c r="B673" t="s">
        <v>38</v>
      </c>
      <c r="C673" t="s">
        <v>39</v>
      </c>
      <c r="D67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v>40000</v>
      </c>
      <c r="E674">
        <v>0</v>
      </c>
      <c r="F674" t="s">
        <v>27</v>
      </c>
      <c r="G674" t="s">
        <v>14</v>
      </c>
      <c r="H674" t="s">
        <v>15</v>
      </c>
      <c r="I674">
        <v>2</v>
      </c>
      <c r="J674" t="s">
        <v>23</v>
      </c>
      <c r="K674" t="s">
        <v>32</v>
      </c>
      <c r="L674">
        <v>30</v>
      </c>
      <c r="M674" t="str">
        <f t="shared" si="10"/>
        <v>Middle Age</v>
      </c>
      <c r="N674" t="s">
        <v>18</v>
      </c>
    </row>
    <row r="675" spans="1:14" x14ac:dyDescent="0.3">
      <c r="A675">
        <v>11817</v>
      </c>
      <c r="B675" t="s">
        <v>38</v>
      </c>
      <c r="C675" t="s">
        <v>39</v>
      </c>
      <c r="D67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v>30000</v>
      </c>
      <c r="E676">
        <v>2</v>
      </c>
      <c r="F676" t="s">
        <v>27</v>
      </c>
      <c r="G676" t="s">
        <v>14</v>
      </c>
      <c r="H676" t="s">
        <v>15</v>
      </c>
      <c r="I676">
        <v>2</v>
      </c>
      <c r="J676" t="s">
        <v>26</v>
      </c>
      <c r="K676" t="s">
        <v>32</v>
      </c>
      <c r="L676">
        <v>48</v>
      </c>
      <c r="M676" t="str">
        <f t="shared" si="10"/>
        <v>Adolescent</v>
      </c>
      <c r="N676" t="s">
        <v>18</v>
      </c>
    </row>
    <row r="677" spans="1:14" x14ac:dyDescent="0.3">
      <c r="A677">
        <v>18517</v>
      </c>
      <c r="B677" t="s">
        <v>36</v>
      </c>
      <c r="C677" t="s">
        <v>40</v>
      </c>
      <c r="D677">
        <v>100000</v>
      </c>
      <c r="E677">
        <v>3</v>
      </c>
      <c r="F677" t="s">
        <v>13</v>
      </c>
      <c r="G677" t="s">
        <v>28</v>
      </c>
      <c r="H677" t="s">
        <v>15</v>
      </c>
      <c r="I677">
        <v>4</v>
      </c>
      <c r="J677" t="s">
        <v>16</v>
      </c>
      <c r="K677" t="s">
        <v>32</v>
      </c>
      <c r="L677">
        <v>41</v>
      </c>
      <c r="M677" t="str">
        <f t="shared" si="10"/>
        <v>Adolescent</v>
      </c>
      <c r="N677" t="s">
        <v>18</v>
      </c>
    </row>
    <row r="678" spans="1:14" x14ac:dyDescent="0.3">
      <c r="A678">
        <v>21717</v>
      </c>
      <c r="B678" t="s">
        <v>36</v>
      </c>
      <c r="C678" t="s">
        <v>40</v>
      </c>
      <c r="D678">
        <v>40000</v>
      </c>
      <c r="E678">
        <v>2</v>
      </c>
      <c r="F678" t="s">
        <v>19</v>
      </c>
      <c r="G678" t="s">
        <v>20</v>
      </c>
      <c r="H678" t="s">
        <v>15</v>
      </c>
      <c r="I678">
        <v>1</v>
      </c>
      <c r="J678" t="s">
        <v>16</v>
      </c>
      <c r="K678" t="s">
        <v>32</v>
      </c>
      <c r="L678">
        <v>47</v>
      </c>
      <c r="M678" t="str">
        <f t="shared" si="10"/>
        <v>Adolescent</v>
      </c>
      <c r="N678" t="s">
        <v>18</v>
      </c>
    </row>
    <row r="679" spans="1:14" x14ac:dyDescent="0.3">
      <c r="A679">
        <v>13760</v>
      </c>
      <c r="B679" t="s">
        <v>36</v>
      </c>
      <c r="C679" t="s">
        <v>40</v>
      </c>
      <c r="D679">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40</v>
      </c>
      <c r="D680">
        <v>80000</v>
      </c>
      <c r="E680">
        <v>5</v>
      </c>
      <c r="F680" t="s">
        <v>13</v>
      </c>
      <c r="G680" t="s">
        <v>28</v>
      </c>
      <c r="H680" t="s">
        <v>18</v>
      </c>
      <c r="I680">
        <v>2</v>
      </c>
      <c r="J680" t="s">
        <v>22</v>
      </c>
      <c r="K680" t="s">
        <v>17</v>
      </c>
      <c r="L680">
        <v>62</v>
      </c>
      <c r="M680" t="str">
        <f t="shared" si="10"/>
        <v>Middle Age</v>
      </c>
      <c r="N680" t="s">
        <v>18</v>
      </c>
    </row>
    <row r="681" spans="1:14" x14ac:dyDescent="0.3">
      <c r="A681">
        <v>21770</v>
      </c>
      <c r="B681" t="s">
        <v>36</v>
      </c>
      <c r="C681" t="s">
        <v>40</v>
      </c>
      <c r="D681">
        <v>60000</v>
      </c>
      <c r="E681">
        <v>4</v>
      </c>
      <c r="F681" t="s">
        <v>13</v>
      </c>
      <c r="G681" t="s">
        <v>28</v>
      </c>
      <c r="H681" t="s">
        <v>15</v>
      </c>
      <c r="I681">
        <v>2</v>
      </c>
      <c r="J681" t="s">
        <v>47</v>
      </c>
      <c r="K681" t="s">
        <v>32</v>
      </c>
      <c r="L681">
        <v>60</v>
      </c>
      <c r="M681" t="str">
        <f t="shared" si="10"/>
        <v>Middle Age</v>
      </c>
      <c r="N681" t="s">
        <v>18</v>
      </c>
    </row>
    <row r="682" spans="1:14" x14ac:dyDescent="0.3">
      <c r="A682">
        <v>11165</v>
      </c>
      <c r="B682" t="s">
        <v>36</v>
      </c>
      <c r="C682" t="s">
        <v>39</v>
      </c>
      <c r="D682">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40</v>
      </c>
      <c r="D68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v>90000</v>
      </c>
      <c r="E685">
        <v>5</v>
      </c>
      <c r="F685" t="s">
        <v>19</v>
      </c>
      <c r="G685" t="s">
        <v>21</v>
      </c>
      <c r="H685" t="s">
        <v>15</v>
      </c>
      <c r="I685">
        <v>3</v>
      </c>
      <c r="J685" t="s">
        <v>22</v>
      </c>
      <c r="K685" t="s">
        <v>32</v>
      </c>
      <c r="L685">
        <v>40</v>
      </c>
      <c r="M685" t="str">
        <f t="shared" si="10"/>
        <v>Adolescent</v>
      </c>
      <c r="N685" t="s">
        <v>18</v>
      </c>
    </row>
    <row r="686" spans="1:14" x14ac:dyDescent="0.3">
      <c r="A686">
        <v>29133</v>
      </c>
      <c r="B686" t="s">
        <v>38</v>
      </c>
      <c r="C686" t="s">
        <v>39</v>
      </c>
      <c r="D686">
        <v>60000</v>
      </c>
      <c r="E686">
        <v>4</v>
      </c>
      <c r="F686" t="s">
        <v>13</v>
      </c>
      <c r="G686" t="s">
        <v>14</v>
      </c>
      <c r="H686" t="s">
        <v>18</v>
      </c>
      <c r="I686">
        <v>2</v>
      </c>
      <c r="J686" t="s">
        <v>16</v>
      </c>
      <c r="K686" t="s">
        <v>32</v>
      </c>
      <c r="L686">
        <v>42</v>
      </c>
      <c r="M686" t="str">
        <f t="shared" si="10"/>
        <v>Adolescent</v>
      </c>
      <c r="N686" t="s">
        <v>18</v>
      </c>
    </row>
    <row r="687" spans="1:14" x14ac:dyDescent="0.3">
      <c r="A687">
        <v>27673</v>
      </c>
      <c r="B687" t="s">
        <v>38</v>
      </c>
      <c r="C687" t="s">
        <v>39</v>
      </c>
      <c r="D687">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40</v>
      </c>
      <c r="D689">
        <v>30000</v>
      </c>
      <c r="E689">
        <v>0</v>
      </c>
      <c r="F689" t="s">
        <v>19</v>
      </c>
      <c r="G689" t="s">
        <v>14</v>
      </c>
      <c r="H689" t="s">
        <v>15</v>
      </c>
      <c r="I689">
        <v>2</v>
      </c>
      <c r="J689" t="s">
        <v>23</v>
      </c>
      <c r="K689" t="s">
        <v>32</v>
      </c>
      <c r="L689">
        <v>30</v>
      </c>
      <c r="M689" t="str">
        <f t="shared" si="10"/>
        <v>Old</v>
      </c>
      <c r="N689" t="s">
        <v>18</v>
      </c>
    </row>
    <row r="690" spans="1:14" x14ac:dyDescent="0.3">
      <c r="A690">
        <v>11699</v>
      </c>
      <c r="B690" t="s">
        <v>38</v>
      </c>
      <c r="C690" t="s">
        <v>40</v>
      </c>
      <c r="D690">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40</v>
      </c>
      <c r="D691">
        <v>30000</v>
      </c>
      <c r="E691">
        <v>0</v>
      </c>
      <c r="F691" t="s">
        <v>27</v>
      </c>
      <c r="G691" t="s">
        <v>14</v>
      </c>
      <c r="H691" t="s">
        <v>15</v>
      </c>
      <c r="I691">
        <v>2</v>
      </c>
      <c r="J691" t="s">
        <v>23</v>
      </c>
      <c r="K691" t="s">
        <v>32</v>
      </c>
      <c r="L691">
        <v>26</v>
      </c>
      <c r="M691" t="str">
        <f t="shared" si="10"/>
        <v>Middle Age</v>
      </c>
      <c r="N691" t="s">
        <v>18</v>
      </c>
    </row>
    <row r="692" spans="1:14" x14ac:dyDescent="0.3">
      <c r="A692">
        <v>28269</v>
      </c>
      <c r="B692" t="s">
        <v>38</v>
      </c>
      <c r="C692" t="s">
        <v>39</v>
      </c>
      <c r="D692">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40</v>
      </c>
      <c r="D69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40</v>
      </c>
      <c r="D694">
        <v>70000</v>
      </c>
      <c r="E694">
        <v>1</v>
      </c>
      <c r="F694" t="s">
        <v>13</v>
      </c>
      <c r="G694" t="s">
        <v>21</v>
      </c>
      <c r="H694" t="s">
        <v>15</v>
      </c>
      <c r="I694">
        <v>1</v>
      </c>
      <c r="J694" t="s">
        <v>22</v>
      </c>
      <c r="K694" t="s">
        <v>32</v>
      </c>
      <c r="L694">
        <v>44</v>
      </c>
      <c r="M694" t="str">
        <f t="shared" si="10"/>
        <v>Old</v>
      </c>
      <c r="N694" t="s">
        <v>15</v>
      </c>
    </row>
    <row r="695" spans="1:14" x14ac:dyDescent="0.3">
      <c r="A695">
        <v>25970</v>
      </c>
      <c r="B695" t="s">
        <v>38</v>
      </c>
      <c r="C695" t="s">
        <v>39</v>
      </c>
      <c r="D695">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40</v>
      </c>
      <c r="D697">
        <v>80000</v>
      </c>
      <c r="E697">
        <v>5</v>
      </c>
      <c r="F697" t="s">
        <v>19</v>
      </c>
      <c r="G697" t="s">
        <v>21</v>
      </c>
      <c r="H697" t="s">
        <v>15</v>
      </c>
      <c r="I697">
        <v>2</v>
      </c>
      <c r="J697" t="s">
        <v>16</v>
      </c>
      <c r="K697" t="s">
        <v>32</v>
      </c>
      <c r="L697">
        <v>44</v>
      </c>
      <c r="M697" t="str">
        <f t="shared" si="10"/>
        <v>Old</v>
      </c>
      <c r="N697" t="s">
        <v>18</v>
      </c>
    </row>
    <row r="698" spans="1:14" x14ac:dyDescent="0.3">
      <c r="A698">
        <v>29112</v>
      </c>
      <c r="B698" t="s">
        <v>38</v>
      </c>
      <c r="C698" t="s">
        <v>40</v>
      </c>
      <c r="D698">
        <v>60000</v>
      </c>
      <c r="E698">
        <v>0</v>
      </c>
      <c r="F698" t="s">
        <v>19</v>
      </c>
      <c r="G698" t="s">
        <v>21</v>
      </c>
      <c r="H698" t="s">
        <v>18</v>
      </c>
      <c r="I698">
        <v>2</v>
      </c>
      <c r="J698" t="s">
        <v>26</v>
      </c>
      <c r="K698" t="s">
        <v>32</v>
      </c>
      <c r="L698">
        <v>30</v>
      </c>
      <c r="M698" t="str">
        <f t="shared" si="10"/>
        <v>Old</v>
      </c>
      <c r="N698" t="s">
        <v>18</v>
      </c>
    </row>
    <row r="699" spans="1:14" x14ac:dyDescent="0.3">
      <c r="A699">
        <v>14090</v>
      </c>
      <c r="B699" t="s">
        <v>36</v>
      </c>
      <c r="C699" t="s">
        <v>39</v>
      </c>
      <c r="D699">
        <v>30000</v>
      </c>
      <c r="E699">
        <v>0</v>
      </c>
      <c r="F699" t="s">
        <v>29</v>
      </c>
      <c r="G699" t="s">
        <v>20</v>
      </c>
      <c r="H699" t="s">
        <v>18</v>
      </c>
      <c r="I699">
        <v>2</v>
      </c>
      <c r="J699" t="s">
        <v>16</v>
      </c>
      <c r="K699" t="s">
        <v>32</v>
      </c>
      <c r="L699">
        <v>28</v>
      </c>
      <c r="M699" t="str">
        <f t="shared" si="10"/>
        <v>Middle Age</v>
      </c>
      <c r="N699" t="s">
        <v>18</v>
      </c>
    </row>
    <row r="700" spans="1:14" x14ac:dyDescent="0.3">
      <c r="A700">
        <v>27040</v>
      </c>
      <c r="B700" t="s">
        <v>36</v>
      </c>
      <c r="C700" t="s">
        <v>40</v>
      </c>
      <c r="D700">
        <v>20000</v>
      </c>
      <c r="E700">
        <v>2</v>
      </c>
      <c r="F700" t="s">
        <v>29</v>
      </c>
      <c r="G700" t="s">
        <v>20</v>
      </c>
      <c r="H700" t="s">
        <v>15</v>
      </c>
      <c r="I700">
        <v>2</v>
      </c>
      <c r="J700" t="s">
        <v>26</v>
      </c>
      <c r="K700" t="s">
        <v>32</v>
      </c>
      <c r="L700">
        <v>49</v>
      </c>
      <c r="M700" t="str">
        <f t="shared" si="10"/>
        <v>Old</v>
      </c>
      <c r="N700" t="s">
        <v>18</v>
      </c>
    </row>
    <row r="701" spans="1:14" x14ac:dyDescent="0.3">
      <c r="A701">
        <v>23479</v>
      </c>
      <c r="B701" t="s">
        <v>38</v>
      </c>
      <c r="C701" t="s">
        <v>40</v>
      </c>
      <c r="D701">
        <v>90000</v>
      </c>
      <c r="E701">
        <v>0</v>
      </c>
      <c r="F701" t="s">
        <v>19</v>
      </c>
      <c r="G701" t="s">
        <v>21</v>
      </c>
      <c r="H701" t="s">
        <v>18</v>
      </c>
      <c r="I701">
        <v>2</v>
      </c>
      <c r="J701" t="s">
        <v>16</v>
      </c>
      <c r="K701" t="s">
        <v>32</v>
      </c>
      <c r="L701">
        <v>43</v>
      </c>
      <c r="M701" t="str">
        <f t="shared" si="10"/>
        <v>Old</v>
      </c>
      <c r="N701" t="s">
        <v>15</v>
      </c>
    </row>
    <row r="702" spans="1:14" x14ac:dyDescent="0.3">
      <c r="A702">
        <v>16795</v>
      </c>
      <c r="B702" t="s">
        <v>36</v>
      </c>
      <c r="C702" t="s">
        <v>39</v>
      </c>
      <c r="D702">
        <v>70000</v>
      </c>
      <c r="E702">
        <v>4</v>
      </c>
      <c r="F702" t="s">
        <v>13</v>
      </c>
      <c r="G702" t="s">
        <v>28</v>
      </c>
      <c r="H702" t="s">
        <v>15</v>
      </c>
      <c r="I702">
        <v>1</v>
      </c>
      <c r="J702" t="s">
        <v>26</v>
      </c>
      <c r="K702" t="s">
        <v>32</v>
      </c>
      <c r="L702">
        <v>59</v>
      </c>
      <c r="M702" t="str">
        <f t="shared" si="10"/>
        <v>Middle Age</v>
      </c>
      <c r="N702" t="s">
        <v>18</v>
      </c>
    </row>
    <row r="703" spans="1:14" x14ac:dyDescent="0.3">
      <c r="A703">
        <v>22014</v>
      </c>
      <c r="B703" t="s">
        <v>38</v>
      </c>
      <c r="C703" t="s">
        <v>40</v>
      </c>
      <c r="D70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40</v>
      </c>
      <c r="D704">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v>70000</v>
      </c>
      <c r="E707">
        <v>4</v>
      </c>
      <c r="F707" t="s">
        <v>13</v>
      </c>
      <c r="G707" t="s">
        <v>28</v>
      </c>
      <c r="H707" t="s">
        <v>15</v>
      </c>
      <c r="I707">
        <v>1</v>
      </c>
      <c r="J707" t="s">
        <v>47</v>
      </c>
      <c r="K707" t="s">
        <v>32</v>
      </c>
      <c r="L707">
        <v>59</v>
      </c>
      <c r="M707" t="str">
        <f t="shared" ref="M707:M770" si="11">IF(L720&gt;54, "Old", IF(L720&gt;=31, "Middle Age", IF(L720&lt;31, "Adolescent", "Invalid")))</f>
        <v>Middle Age</v>
      </c>
      <c r="N707" t="s">
        <v>18</v>
      </c>
    </row>
    <row r="708" spans="1:14" x14ac:dyDescent="0.3">
      <c r="A708">
        <v>20296</v>
      </c>
      <c r="B708" t="s">
        <v>38</v>
      </c>
      <c r="C708" t="s">
        <v>39</v>
      </c>
      <c r="D708">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v>70000</v>
      </c>
      <c r="E709">
        <v>1</v>
      </c>
      <c r="F709" t="s">
        <v>19</v>
      </c>
      <c r="G709" t="s">
        <v>14</v>
      </c>
      <c r="H709" t="s">
        <v>15</v>
      </c>
      <c r="I709">
        <v>1</v>
      </c>
      <c r="J709" t="s">
        <v>16</v>
      </c>
      <c r="K709" t="s">
        <v>32</v>
      </c>
      <c r="L709">
        <v>44</v>
      </c>
      <c r="M709" t="str">
        <f t="shared" si="11"/>
        <v>Old</v>
      </c>
      <c r="N709" t="s">
        <v>15</v>
      </c>
    </row>
    <row r="710" spans="1:14" x14ac:dyDescent="0.3">
      <c r="A710">
        <v>18069</v>
      </c>
      <c r="B710" t="s">
        <v>36</v>
      </c>
      <c r="C710" t="s">
        <v>40</v>
      </c>
      <c r="D710">
        <v>70000</v>
      </c>
      <c r="E710">
        <v>5</v>
      </c>
      <c r="F710" t="s">
        <v>13</v>
      </c>
      <c r="G710" t="s">
        <v>28</v>
      </c>
      <c r="H710" t="s">
        <v>15</v>
      </c>
      <c r="I710">
        <v>4</v>
      </c>
      <c r="J710" t="s">
        <v>47</v>
      </c>
      <c r="K710" t="s">
        <v>32</v>
      </c>
      <c r="L710">
        <v>60</v>
      </c>
      <c r="M710" t="str">
        <f t="shared" si="11"/>
        <v>Middle Age</v>
      </c>
      <c r="N710" t="s">
        <v>18</v>
      </c>
    </row>
    <row r="711" spans="1:14" x14ac:dyDescent="0.3">
      <c r="A711">
        <v>23712</v>
      </c>
      <c r="B711" t="s">
        <v>38</v>
      </c>
      <c r="C711" t="s">
        <v>39</v>
      </c>
      <c r="D711">
        <v>70000</v>
      </c>
      <c r="E711">
        <v>2</v>
      </c>
      <c r="F711" t="s">
        <v>13</v>
      </c>
      <c r="G711" t="s">
        <v>28</v>
      </c>
      <c r="H711" t="s">
        <v>15</v>
      </c>
      <c r="I711">
        <v>1</v>
      </c>
      <c r="J711" t="s">
        <v>47</v>
      </c>
      <c r="K711" t="s">
        <v>32</v>
      </c>
      <c r="L711">
        <v>59</v>
      </c>
      <c r="M711" t="str">
        <f t="shared" si="11"/>
        <v>Middle Age</v>
      </c>
      <c r="N711" t="s">
        <v>18</v>
      </c>
    </row>
    <row r="712" spans="1:14" x14ac:dyDescent="0.3">
      <c r="A712">
        <v>23358</v>
      </c>
      <c r="B712" t="s">
        <v>36</v>
      </c>
      <c r="C712" t="s">
        <v>40</v>
      </c>
      <c r="D712">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v>70000</v>
      </c>
      <c r="E713">
        <v>2</v>
      </c>
      <c r="F713" t="s">
        <v>19</v>
      </c>
      <c r="G713" t="s">
        <v>21</v>
      </c>
      <c r="H713" t="s">
        <v>15</v>
      </c>
      <c r="I713">
        <v>1</v>
      </c>
      <c r="J713" t="s">
        <v>47</v>
      </c>
      <c r="K713" t="s">
        <v>32</v>
      </c>
      <c r="L713">
        <v>58</v>
      </c>
      <c r="M713" t="str">
        <f t="shared" si="11"/>
        <v>Middle Age</v>
      </c>
      <c r="N713" t="s">
        <v>18</v>
      </c>
    </row>
    <row r="714" spans="1:14" x14ac:dyDescent="0.3">
      <c r="A714">
        <v>28026</v>
      </c>
      <c r="B714" t="s">
        <v>36</v>
      </c>
      <c r="C714" t="s">
        <v>39</v>
      </c>
      <c r="D714">
        <v>40000</v>
      </c>
      <c r="E714">
        <v>2</v>
      </c>
      <c r="F714" t="s">
        <v>27</v>
      </c>
      <c r="G714" t="s">
        <v>21</v>
      </c>
      <c r="H714" t="s">
        <v>18</v>
      </c>
      <c r="I714">
        <v>2</v>
      </c>
      <c r="J714" t="s">
        <v>22</v>
      </c>
      <c r="K714" t="s">
        <v>32</v>
      </c>
      <c r="L714">
        <v>59</v>
      </c>
      <c r="M714" t="str">
        <f t="shared" si="11"/>
        <v>Middle Age</v>
      </c>
      <c r="N714" t="s">
        <v>18</v>
      </c>
    </row>
    <row r="715" spans="1:14" x14ac:dyDescent="0.3">
      <c r="A715">
        <v>11669</v>
      </c>
      <c r="B715" t="s">
        <v>38</v>
      </c>
      <c r="C715" t="s">
        <v>39</v>
      </c>
      <c r="D71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40</v>
      </c>
      <c r="D716">
        <v>40000</v>
      </c>
      <c r="E716">
        <v>0</v>
      </c>
      <c r="F716" t="s">
        <v>27</v>
      </c>
      <c r="G716" t="s">
        <v>14</v>
      </c>
      <c r="H716" t="s">
        <v>15</v>
      </c>
      <c r="I716">
        <v>2</v>
      </c>
      <c r="J716" t="s">
        <v>23</v>
      </c>
      <c r="K716" t="s">
        <v>32</v>
      </c>
      <c r="L716">
        <v>28</v>
      </c>
      <c r="M716" t="str">
        <f t="shared" si="11"/>
        <v>Middle Age</v>
      </c>
      <c r="N716" t="s">
        <v>15</v>
      </c>
    </row>
    <row r="717" spans="1:14" x14ac:dyDescent="0.3">
      <c r="A717">
        <v>27090</v>
      </c>
      <c r="B717" t="s">
        <v>36</v>
      </c>
      <c r="C717" t="s">
        <v>39</v>
      </c>
      <c r="D717">
        <v>60000</v>
      </c>
      <c r="E717">
        <v>1</v>
      </c>
      <c r="F717" t="s">
        <v>31</v>
      </c>
      <c r="G717" t="s">
        <v>21</v>
      </c>
      <c r="H717" t="s">
        <v>15</v>
      </c>
      <c r="I717">
        <v>0</v>
      </c>
      <c r="J717" t="s">
        <v>22</v>
      </c>
      <c r="K717" t="s">
        <v>32</v>
      </c>
      <c r="L717">
        <v>37</v>
      </c>
      <c r="M717" t="str">
        <f t="shared" si="11"/>
        <v>Adolescent</v>
      </c>
      <c r="N717" t="s">
        <v>15</v>
      </c>
    </row>
    <row r="718" spans="1:14" x14ac:dyDescent="0.3">
      <c r="A718">
        <v>27198</v>
      </c>
      <c r="B718" t="s">
        <v>38</v>
      </c>
      <c r="C718" t="s">
        <v>39</v>
      </c>
      <c r="D718">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40</v>
      </c>
      <c r="D719">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40</v>
      </c>
      <c r="D720">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v>40000</v>
      </c>
      <c r="E722">
        <v>5</v>
      </c>
      <c r="F722" t="s">
        <v>27</v>
      </c>
      <c r="G722" t="s">
        <v>21</v>
      </c>
      <c r="H722" t="s">
        <v>18</v>
      </c>
      <c r="I722">
        <v>3</v>
      </c>
      <c r="J722" t="s">
        <v>22</v>
      </c>
      <c r="K722" t="s">
        <v>32</v>
      </c>
      <c r="L722">
        <v>60</v>
      </c>
      <c r="M722" t="str">
        <f t="shared" si="11"/>
        <v>Middle Age</v>
      </c>
      <c r="N722" t="s">
        <v>15</v>
      </c>
    </row>
    <row r="723" spans="1:14" x14ac:dyDescent="0.3">
      <c r="A723">
        <v>13287</v>
      </c>
      <c r="B723" t="s">
        <v>38</v>
      </c>
      <c r="C723" t="s">
        <v>40</v>
      </c>
      <c r="D72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v>70000</v>
      </c>
      <c r="E724">
        <v>3</v>
      </c>
      <c r="F724" t="s">
        <v>31</v>
      </c>
      <c r="G724" t="s">
        <v>28</v>
      </c>
      <c r="H724" t="s">
        <v>18</v>
      </c>
      <c r="I724">
        <v>2</v>
      </c>
      <c r="J724" t="s">
        <v>26</v>
      </c>
      <c r="K724" t="s">
        <v>32</v>
      </c>
      <c r="L724">
        <v>53</v>
      </c>
      <c r="M724" t="str">
        <f t="shared" si="11"/>
        <v>Adolescent</v>
      </c>
      <c r="N724" t="s">
        <v>18</v>
      </c>
    </row>
    <row r="725" spans="1:14" x14ac:dyDescent="0.3">
      <c r="A725">
        <v>26678</v>
      </c>
      <c r="B725" t="s">
        <v>38</v>
      </c>
      <c r="C725" t="s">
        <v>39</v>
      </c>
      <c r="D72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40</v>
      </c>
      <c r="D726">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40</v>
      </c>
      <c r="D727">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40</v>
      </c>
      <c r="D728">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40</v>
      </c>
      <c r="D729">
        <v>70000</v>
      </c>
      <c r="E729">
        <v>1</v>
      </c>
      <c r="F729" t="s">
        <v>31</v>
      </c>
      <c r="G729" t="s">
        <v>21</v>
      </c>
      <c r="H729" t="s">
        <v>15</v>
      </c>
      <c r="I729">
        <v>1</v>
      </c>
      <c r="J729" t="s">
        <v>16</v>
      </c>
      <c r="K729" t="s">
        <v>32</v>
      </c>
      <c r="L729">
        <v>46</v>
      </c>
      <c r="M729" t="str">
        <f t="shared" si="11"/>
        <v>Adolescent</v>
      </c>
      <c r="N729" t="s">
        <v>15</v>
      </c>
    </row>
    <row r="730" spans="1:14" x14ac:dyDescent="0.3">
      <c r="A730">
        <v>27731</v>
      </c>
      <c r="B730" t="s">
        <v>36</v>
      </c>
      <c r="C730" t="s">
        <v>40</v>
      </c>
      <c r="D730">
        <v>40000</v>
      </c>
      <c r="E730">
        <v>0</v>
      </c>
      <c r="F730" t="s">
        <v>27</v>
      </c>
      <c r="G730" t="s">
        <v>14</v>
      </c>
      <c r="H730" t="s">
        <v>15</v>
      </c>
      <c r="I730">
        <v>2</v>
      </c>
      <c r="J730" t="s">
        <v>23</v>
      </c>
      <c r="K730" t="s">
        <v>32</v>
      </c>
      <c r="L730">
        <v>27</v>
      </c>
      <c r="M730" t="str">
        <f t="shared" si="11"/>
        <v>Middle Age</v>
      </c>
      <c r="N730" t="s">
        <v>18</v>
      </c>
    </row>
    <row r="731" spans="1:14" x14ac:dyDescent="0.3">
      <c r="A731">
        <v>11886</v>
      </c>
      <c r="B731" t="s">
        <v>36</v>
      </c>
      <c r="C731" t="s">
        <v>39</v>
      </c>
      <c r="D731">
        <v>60000</v>
      </c>
      <c r="E731">
        <v>3</v>
      </c>
      <c r="F731" t="s">
        <v>13</v>
      </c>
      <c r="G731" t="s">
        <v>21</v>
      </c>
      <c r="H731" t="s">
        <v>15</v>
      </c>
      <c r="I731">
        <v>1</v>
      </c>
      <c r="J731" t="s">
        <v>16</v>
      </c>
      <c r="K731" t="s">
        <v>32</v>
      </c>
      <c r="L731">
        <v>48</v>
      </c>
      <c r="M731" t="str">
        <f t="shared" si="11"/>
        <v>Adolescent</v>
      </c>
      <c r="N731" t="s">
        <v>15</v>
      </c>
    </row>
    <row r="732" spans="1:14" x14ac:dyDescent="0.3">
      <c r="A732">
        <v>24324</v>
      </c>
      <c r="B732" t="s">
        <v>38</v>
      </c>
      <c r="C732" t="s">
        <v>39</v>
      </c>
      <c r="D732">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40</v>
      </c>
      <c r="D733">
        <v>60000</v>
      </c>
      <c r="E733">
        <v>2</v>
      </c>
      <c r="F733" t="s">
        <v>27</v>
      </c>
      <c r="G733" t="s">
        <v>21</v>
      </c>
      <c r="H733" t="s">
        <v>18</v>
      </c>
      <c r="I733">
        <v>2</v>
      </c>
      <c r="J733" t="s">
        <v>26</v>
      </c>
      <c r="K733" t="s">
        <v>32</v>
      </c>
      <c r="L733">
        <v>49</v>
      </c>
      <c r="M733" t="str">
        <f t="shared" si="11"/>
        <v>Old</v>
      </c>
      <c r="N733" t="s">
        <v>15</v>
      </c>
    </row>
    <row r="734" spans="1:14" x14ac:dyDescent="0.3">
      <c r="A734">
        <v>26625</v>
      </c>
      <c r="B734" t="s">
        <v>38</v>
      </c>
      <c r="C734" t="s">
        <v>39</v>
      </c>
      <c r="D734">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40</v>
      </c>
      <c r="D735">
        <v>130000</v>
      </c>
      <c r="E735">
        <v>1</v>
      </c>
      <c r="F735" t="s">
        <v>13</v>
      </c>
      <c r="G735" t="s">
        <v>28</v>
      </c>
      <c r="H735" t="s">
        <v>18</v>
      </c>
      <c r="I735">
        <v>4</v>
      </c>
      <c r="J735" t="s">
        <v>16</v>
      </c>
      <c r="K735" t="s">
        <v>32</v>
      </c>
      <c r="L735">
        <v>44</v>
      </c>
      <c r="M735" t="str">
        <f t="shared" si="11"/>
        <v>Old</v>
      </c>
      <c r="N735" t="s">
        <v>18</v>
      </c>
    </row>
    <row r="736" spans="1:14" x14ac:dyDescent="0.3">
      <c r="A736">
        <v>16867</v>
      </c>
      <c r="B736" t="s">
        <v>38</v>
      </c>
      <c r="C736" t="s">
        <v>39</v>
      </c>
      <c r="D736">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v>30000</v>
      </c>
      <c r="E737">
        <v>0</v>
      </c>
      <c r="F737" t="s">
        <v>19</v>
      </c>
      <c r="G737" t="s">
        <v>14</v>
      </c>
      <c r="H737" t="s">
        <v>15</v>
      </c>
      <c r="I737">
        <v>1</v>
      </c>
      <c r="J737" t="s">
        <v>23</v>
      </c>
      <c r="K737" t="s">
        <v>32</v>
      </c>
      <c r="L737">
        <v>26</v>
      </c>
      <c r="M737" t="str">
        <f t="shared" si="11"/>
        <v>Old</v>
      </c>
      <c r="N737" t="s">
        <v>18</v>
      </c>
    </row>
    <row r="738" spans="1:14" x14ac:dyDescent="0.3">
      <c r="A738">
        <v>19634</v>
      </c>
      <c r="B738" t="s">
        <v>36</v>
      </c>
      <c r="C738" t="s">
        <v>40</v>
      </c>
      <c r="D738">
        <v>40000</v>
      </c>
      <c r="E738">
        <v>0</v>
      </c>
      <c r="F738" t="s">
        <v>27</v>
      </c>
      <c r="G738" t="s">
        <v>14</v>
      </c>
      <c r="H738" t="s">
        <v>15</v>
      </c>
      <c r="I738">
        <v>1</v>
      </c>
      <c r="J738" t="s">
        <v>23</v>
      </c>
      <c r="K738" t="s">
        <v>32</v>
      </c>
      <c r="L738">
        <v>31</v>
      </c>
      <c r="M738" t="str">
        <f t="shared" si="11"/>
        <v>Old</v>
      </c>
      <c r="N738" t="s">
        <v>18</v>
      </c>
    </row>
    <row r="739" spans="1:14" x14ac:dyDescent="0.3">
      <c r="A739">
        <v>18504</v>
      </c>
      <c r="B739" t="s">
        <v>36</v>
      </c>
      <c r="C739" t="s">
        <v>40</v>
      </c>
      <c r="D739">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40</v>
      </c>
      <c r="D742">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v>40000</v>
      </c>
      <c r="E743">
        <v>1</v>
      </c>
      <c r="F743" t="s">
        <v>19</v>
      </c>
      <c r="G743" t="s">
        <v>20</v>
      </c>
      <c r="H743" t="s">
        <v>15</v>
      </c>
      <c r="I743">
        <v>1</v>
      </c>
      <c r="J743" t="s">
        <v>26</v>
      </c>
      <c r="K743" t="s">
        <v>32</v>
      </c>
      <c r="L743">
        <v>48</v>
      </c>
      <c r="M743" t="str">
        <f t="shared" si="11"/>
        <v>Old</v>
      </c>
      <c r="N743" t="s">
        <v>15</v>
      </c>
    </row>
    <row r="744" spans="1:14" x14ac:dyDescent="0.3">
      <c r="A744">
        <v>14077</v>
      </c>
      <c r="B744" t="s">
        <v>38</v>
      </c>
      <c r="C744" t="s">
        <v>40</v>
      </c>
      <c r="D744">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40</v>
      </c>
      <c r="D74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v>70000</v>
      </c>
      <c r="E746">
        <v>4</v>
      </c>
      <c r="F746" t="s">
        <v>19</v>
      </c>
      <c r="G746" t="s">
        <v>21</v>
      </c>
      <c r="H746" t="s">
        <v>15</v>
      </c>
      <c r="I746">
        <v>1</v>
      </c>
      <c r="J746" t="s">
        <v>47</v>
      </c>
      <c r="K746" t="s">
        <v>32</v>
      </c>
      <c r="L746">
        <v>56</v>
      </c>
      <c r="M746" t="str">
        <f t="shared" si="11"/>
        <v>Middle Age</v>
      </c>
      <c r="N746" t="s">
        <v>18</v>
      </c>
    </row>
    <row r="747" spans="1:14" x14ac:dyDescent="0.3">
      <c r="A747">
        <v>12452</v>
      </c>
      <c r="B747" t="s">
        <v>36</v>
      </c>
      <c r="C747" t="s">
        <v>40</v>
      </c>
      <c r="D747">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v>60000</v>
      </c>
      <c r="E748">
        <v>2</v>
      </c>
      <c r="F748" t="s">
        <v>13</v>
      </c>
      <c r="G748" t="s">
        <v>28</v>
      </c>
      <c r="H748" t="s">
        <v>15</v>
      </c>
      <c r="I748">
        <v>0</v>
      </c>
      <c r="J748" t="s">
        <v>47</v>
      </c>
      <c r="K748" t="s">
        <v>32</v>
      </c>
      <c r="L748">
        <v>56</v>
      </c>
      <c r="M748" t="str">
        <f t="shared" si="11"/>
        <v>Middle Age</v>
      </c>
      <c r="N748" t="s">
        <v>18</v>
      </c>
    </row>
    <row r="749" spans="1:14" x14ac:dyDescent="0.3">
      <c r="A749">
        <v>12957</v>
      </c>
      <c r="B749" t="s">
        <v>38</v>
      </c>
      <c r="C749" t="s">
        <v>39</v>
      </c>
      <c r="D749">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40</v>
      </c>
      <c r="D750">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40</v>
      </c>
      <c r="D752">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40</v>
      </c>
      <c r="D753">
        <v>60000</v>
      </c>
      <c r="E753">
        <v>1</v>
      </c>
      <c r="F753" t="s">
        <v>31</v>
      </c>
      <c r="G753" t="s">
        <v>21</v>
      </c>
      <c r="H753" t="s">
        <v>15</v>
      </c>
      <c r="I753">
        <v>0</v>
      </c>
      <c r="J753" t="s">
        <v>22</v>
      </c>
      <c r="K753" t="s">
        <v>32</v>
      </c>
      <c r="L753">
        <v>36</v>
      </c>
      <c r="M753" t="str">
        <f t="shared" si="11"/>
        <v>Adolescent</v>
      </c>
      <c r="N753" t="s">
        <v>18</v>
      </c>
    </row>
    <row r="754" spans="1:14" x14ac:dyDescent="0.3">
      <c r="A754">
        <v>22211</v>
      </c>
      <c r="B754" t="s">
        <v>36</v>
      </c>
      <c r="C754" t="s">
        <v>40</v>
      </c>
      <c r="D754">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v>40000</v>
      </c>
      <c r="E755">
        <v>0</v>
      </c>
      <c r="F755" t="s">
        <v>19</v>
      </c>
      <c r="G755" t="s">
        <v>14</v>
      </c>
      <c r="H755" t="s">
        <v>18</v>
      </c>
      <c r="I755">
        <v>1</v>
      </c>
      <c r="J755" t="s">
        <v>26</v>
      </c>
      <c r="K755" t="s">
        <v>32</v>
      </c>
      <c r="L755">
        <v>27</v>
      </c>
      <c r="M755" t="str">
        <f t="shared" si="11"/>
        <v>Middle Age</v>
      </c>
      <c r="N755" t="s">
        <v>18</v>
      </c>
    </row>
    <row r="756" spans="1:14" x14ac:dyDescent="0.3">
      <c r="A756">
        <v>23668</v>
      </c>
      <c r="B756" t="s">
        <v>36</v>
      </c>
      <c r="C756" t="s">
        <v>39</v>
      </c>
      <c r="D756">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40</v>
      </c>
      <c r="D757">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40</v>
      </c>
      <c r="D758">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40</v>
      </c>
      <c r="D759">
        <v>30000</v>
      </c>
      <c r="E759">
        <v>1</v>
      </c>
      <c r="F759" t="s">
        <v>27</v>
      </c>
      <c r="G759" t="s">
        <v>20</v>
      </c>
      <c r="H759" t="s">
        <v>15</v>
      </c>
      <c r="I759">
        <v>2</v>
      </c>
      <c r="J759" t="s">
        <v>26</v>
      </c>
      <c r="K759" t="s">
        <v>32</v>
      </c>
      <c r="L759">
        <v>51</v>
      </c>
      <c r="M759" t="str">
        <f t="shared" si="11"/>
        <v>Old</v>
      </c>
      <c r="N759" t="s">
        <v>15</v>
      </c>
    </row>
    <row r="760" spans="1:14" x14ac:dyDescent="0.3">
      <c r="A760">
        <v>21714</v>
      </c>
      <c r="B760" t="s">
        <v>38</v>
      </c>
      <c r="C760" t="s">
        <v>39</v>
      </c>
      <c r="D760">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40</v>
      </c>
      <c r="D762">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v>60000</v>
      </c>
      <c r="E763">
        <v>5</v>
      </c>
      <c r="F763" t="s">
        <v>13</v>
      </c>
      <c r="G763" t="s">
        <v>28</v>
      </c>
      <c r="H763" t="s">
        <v>15</v>
      </c>
      <c r="I763">
        <v>3</v>
      </c>
      <c r="J763" t="s">
        <v>47</v>
      </c>
      <c r="K763" t="s">
        <v>32</v>
      </c>
      <c r="L763">
        <v>59</v>
      </c>
      <c r="M763" t="str">
        <f t="shared" si="11"/>
        <v>Middle Age</v>
      </c>
      <c r="N763" t="s">
        <v>18</v>
      </c>
    </row>
    <row r="764" spans="1:14" x14ac:dyDescent="0.3">
      <c r="A764">
        <v>20657</v>
      </c>
      <c r="B764" t="s">
        <v>38</v>
      </c>
      <c r="C764" t="s">
        <v>40</v>
      </c>
      <c r="D76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40</v>
      </c>
      <c r="D765">
        <v>50000</v>
      </c>
      <c r="E765">
        <v>1</v>
      </c>
      <c r="F765" t="s">
        <v>31</v>
      </c>
      <c r="G765" t="s">
        <v>14</v>
      </c>
      <c r="H765" t="s">
        <v>15</v>
      </c>
      <c r="I765">
        <v>0</v>
      </c>
      <c r="J765" t="s">
        <v>16</v>
      </c>
      <c r="K765" t="s">
        <v>32</v>
      </c>
      <c r="L765">
        <v>33</v>
      </c>
      <c r="M765" t="str">
        <f t="shared" si="11"/>
        <v>Old</v>
      </c>
      <c r="N765" t="s">
        <v>15</v>
      </c>
    </row>
    <row r="766" spans="1:14" x14ac:dyDescent="0.3">
      <c r="A766">
        <v>25908</v>
      </c>
      <c r="B766" t="s">
        <v>36</v>
      </c>
      <c r="C766" t="s">
        <v>39</v>
      </c>
      <c r="D766">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39</v>
      </c>
      <c r="D767">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40</v>
      </c>
      <c r="D768">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v>100000</v>
      </c>
      <c r="E771">
        <v>4</v>
      </c>
      <c r="F771" t="s">
        <v>13</v>
      </c>
      <c r="G771" t="s">
        <v>28</v>
      </c>
      <c r="H771" t="s">
        <v>15</v>
      </c>
      <c r="I771">
        <v>4</v>
      </c>
      <c r="J771" t="s">
        <v>16</v>
      </c>
      <c r="K771" t="s">
        <v>32</v>
      </c>
      <c r="L771">
        <v>40</v>
      </c>
      <c r="M771" t="str">
        <f t="shared" ref="M771:M834" si="12">IF(L784&gt;54, "Old", IF(L784&gt;=31, "Middle Age", IF(L784&lt;31, "Adolescent", "Invalid")))</f>
        <v>Middle Age</v>
      </c>
      <c r="N771" t="s">
        <v>18</v>
      </c>
    </row>
    <row r="772" spans="1:14" x14ac:dyDescent="0.3">
      <c r="A772">
        <v>17699</v>
      </c>
      <c r="B772" t="s">
        <v>36</v>
      </c>
      <c r="C772" t="s">
        <v>40</v>
      </c>
      <c r="D772">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40</v>
      </c>
      <c r="D77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40</v>
      </c>
      <c r="D774">
        <v>60000</v>
      </c>
      <c r="E774">
        <v>4</v>
      </c>
      <c r="F774" t="s">
        <v>31</v>
      </c>
      <c r="G774" t="s">
        <v>14</v>
      </c>
      <c r="H774" t="s">
        <v>15</v>
      </c>
      <c r="I774">
        <v>0</v>
      </c>
      <c r="J774" t="s">
        <v>26</v>
      </c>
      <c r="K774" t="s">
        <v>32</v>
      </c>
      <c r="L774">
        <v>47</v>
      </c>
      <c r="M774" t="str">
        <f t="shared" si="12"/>
        <v>Adolescent</v>
      </c>
      <c r="N774" t="s">
        <v>15</v>
      </c>
    </row>
    <row r="775" spans="1:14" x14ac:dyDescent="0.3">
      <c r="A775">
        <v>11783</v>
      </c>
      <c r="B775" t="s">
        <v>36</v>
      </c>
      <c r="C775" t="s">
        <v>39</v>
      </c>
      <c r="D77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v>80000</v>
      </c>
      <c r="E776">
        <v>3</v>
      </c>
      <c r="F776" t="s">
        <v>31</v>
      </c>
      <c r="G776" t="s">
        <v>21</v>
      </c>
      <c r="H776" t="s">
        <v>15</v>
      </c>
      <c r="I776">
        <v>0</v>
      </c>
      <c r="J776" t="s">
        <v>16</v>
      </c>
      <c r="K776" t="s">
        <v>32</v>
      </c>
      <c r="L776">
        <v>36</v>
      </c>
      <c r="M776" t="str">
        <f t="shared" si="12"/>
        <v>Old</v>
      </c>
      <c r="N776" t="s">
        <v>15</v>
      </c>
    </row>
    <row r="777" spans="1:14" x14ac:dyDescent="0.3">
      <c r="A777">
        <v>29030</v>
      </c>
      <c r="B777" t="s">
        <v>36</v>
      </c>
      <c r="C777" t="s">
        <v>40</v>
      </c>
      <c r="D777">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40</v>
      </c>
      <c r="D778">
        <v>70000</v>
      </c>
      <c r="E778">
        <v>2</v>
      </c>
      <c r="F778" t="s">
        <v>13</v>
      </c>
      <c r="G778" t="s">
        <v>28</v>
      </c>
      <c r="H778" t="s">
        <v>18</v>
      </c>
      <c r="I778">
        <v>1</v>
      </c>
      <c r="J778" t="s">
        <v>22</v>
      </c>
      <c r="K778" t="s">
        <v>32</v>
      </c>
      <c r="L778">
        <v>59</v>
      </c>
      <c r="M778" t="str">
        <f t="shared" si="12"/>
        <v>Middle Age</v>
      </c>
      <c r="N778" t="s">
        <v>15</v>
      </c>
    </row>
    <row r="779" spans="1:14" x14ac:dyDescent="0.3">
      <c r="A779">
        <v>13151</v>
      </c>
      <c r="B779" t="s">
        <v>38</v>
      </c>
      <c r="C779" t="s">
        <v>40</v>
      </c>
      <c r="D779">
        <v>40000</v>
      </c>
      <c r="E779">
        <v>0</v>
      </c>
      <c r="F779" t="s">
        <v>27</v>
      </c>
      <c r="G779" t="s">
        <v>14</v>
      </c>
      <c r="H779" t="s">
        <v>15</v>
      </c>
      <c r="I779">
        <v>2</v>
      </c>
      <c r="J779" t="s">
        <v>23</v>
      </c>
      <c r="K779" t="s">
        <v>32</v>
      </c>
      <c r="L779">
        <v>27</v>
      </c>
      <c r="M779" t="str">
        <f t="shared" si="12"/>
        <v>Middle Age</v>
      </c>
      <c r="N779" t="s">
        <v>18</v>
      </c>
    </row>
    <row r="780" spans="1:14" x14ac:dyDescent="0.3">
      <c r="A780">
        <v>17260</v>
      </c>
      <c r="B780" t="s">
        <v>36</v>
      </c>
      <c r="C780" t="s">
        <v>40</v>
      </c>
      <c r="D780">
        <v>90000</v>
      </c>
      <c r="E780">
        <v>5</v>
      </c>
      <c r="F780" t="s">
        <v>19</v>
      </c>
      <c r="G780" t="s">
        <v>21</v>
      </c>
      <c r="H780" t="s">
        <v>15</v>
      </c>
      <c r="I780">
        <v>3</v>
      </c>
      <c r="J780" t="s">
        <v>16</v>
      </c>
      <c r="K780" t="s">
        <v>32</v>
      </c>
      <c r="L780">
        <v>41</v>
      </c>
      <c r="M780" t="str">
        <f t="shared" si="12"/>
        <v>Adolescent</v>
      </c>
      <c r="N780" t="s">
        <v>18</v>
      </c>
    </row>
    <row r="781" spans="1:14" x14ac:dyDescent="0.3">
      <c r="A781">
        <v>15372</v>
      </c>
      <c r="B781" t="s">
        <v>36</v>
      </c>
      <c r="C781" t="s">
        <v>40</v>
      </c>
      <c r="D78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40</v>
      </c>
      <c r="D783">
        <v>80000</v>
      </c>
      <c r="E783">
        <v>4</v>
      </c>
      <c r="F783" t="s">
        <v>13</v>
      </c>
      <c r="G783" t="s">
        <v>28</v>
      </c>
      <c r="H783" t="s">
        <v>15</v>
      </c>
      <c r="I783">
        <v>0</v>
      </c>
      <c r="J783" t="s">
        <v>16</v>
      </c>
      <c r="K783" t="s">
        <v>32</v>
      </c>
      <c r="L783">
        <v>43</v>
      </c>
      <c r="M783" t="str">
        <f t="shared" si="12"/>
        <v>Old</v>
      </c>
      <c r="N783" t="s">
        <v>18</v>
      </c>
    </row>
    <row r="784" spans="1:14" x14ac:dyDescent="0.3">
      <c r="A784">
        <v>16112</v>
      </c>
      <c r="B784" t="s">
        <v>38</v>
      </c>
      <c r="C784" t="s">
        <v>40</v>
      </c>
      <c r="D78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40</v>
      </c>
      <c r="D785">
        <v>60000</v>
      </c>
      <c r="E785">
        <v>4</v>
      </c>
      <c r="F785" t="s">
        <v>13</v>
      </c>
      <c r="G785" t="s">
        <v>14</v>
      </c>
      <c r="H785" t="s">
        <v>15</v>
      </c>
      <c r="I785">
        <v>3</v>
      </c>
      <c r="J785" t="s">
        <v>23</v>
      </c>
      <c r="K785" t="s">
        <v>32</v>
      </c>
      <c r="L785">
        <v>42</v>
      </c>
      <c r="M785" t="str">
        <f t="shared" si="12"/>
        <v>Old</v>
      </c>
      <c r="N785" t="s">
        <v>18</v>
      </c>
    </row>
    <row r="786" spans="1:14" x14ac:dyDescent="0.3">
      <c r="A786">
        <v>20076</v>
      </c>
      <c r="B786" t="s">
        <v>38</v>
      </c>
      <c r="C786" t="s">
        <v>39</v>
      </c>
      <c r="D786">
        <v>10000</v>
      </c>
      <c r="E786">
        <v>2</v>
      </c>
      <c r="F786" t="s">
        <v>27</v>
      </c>
      <c r="G786" t="s">
        <v>25</v>
      </c>
      <c r="H786" t="s">
        <v>15</v>
      </c>
      <c r="I786">
        <v>2</v>
      </c>
      <c r="J786" t="s">
        <v>26</v>
      </c>
      <c r="K786" t="s">
        <v>32</v>
      </c>
      <c r="L786">
        <v>53</v>
      </c>
      <c r="M786" t="str">
        <f t="shared" si="12"/>
        <v>Adolescent</v>
      </c>
      <c r="N786" t="s">
        <v>15</v>
      </c>
    </row>
    <row r="787" spans="1:14" x14ac:dyDescent="0.3">
      <c r="A787">
        <v>24496</v>
      </c>
      <c r="B787" t="s">
        <v>38</v>
      </c>
      <c r="C787" t="s">
        <v>39</v>
      </c>
      <c r="D787">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v>70000</v>
      </c>
      <c r="E789">
        <v>2</v>
      </c>
      <c r="F789" t="s">
        <v>13</v>
      </c>
      <c r="G789" t="s">
        <v>28</v>
      </c>
      <c r="H789" t="s">
        <v>18</v>
      </c>
      <c r="I789">
        <v>1</v>
      </c>
      <c r="J789" t="s">
        <v>22</v>
      </c>
      <c r="K789" t="s">
        <v>32</v>
      </c>
      <c r="L789">
        <v>59</v>
      </c>
      <c r="M789" t="str">
        <f t="shared" si="12"/>
        <v>Middle Age</v>
      </c>
      <c r="N789" t="s">
        <v>15</v>
      </c>
    </row>
    <row r="790" spans="1:14" x14ac:dyDescent="0.3">
      <c r="A790">
        <v>26270</v>
      </c>
      <c r="B790" t="s">
        <v>38</v>
      </c>
      <c r="C790" t="s">
        <v>39</v>
      </c>
      <c r="D790">
        <v>20000</v>
      </c>
      <c r="E790">
        <v>2</v>
      </c>
      <c r="F790" t="s">
        <v>29</v>
      </c>
      <c r="G790" t="s">
        <v>20</v>
      </c>
      <c r="H790" t="s">
        <v>15</v>
      </c>
      <c r="I790">
        <v>2</v>
      </c>
      <c r="J790" t="s">
        <v>26</v>
      </c>
      <c r="K790" t="s">
        <v>32</v>
      </c>
      <c r="L790">
        <v>49</v>
      </c>
      <c r="M790" t="str">
        <f t="shared" si="12"/>
        <v>Old</v>
      </c>
      <c r="N790" t="s">
        <v>18</v>
      </c>
    </row>
    <row r="791" spans="1:14" x14ac:dyDescent="0.3">
      <c r="A791">
        <v>22221</v>
      </c>
      <c r="B791" t="s">
        <v>36</v>
      </c>
      <c r="C791" t="s">
        <v>40</v>
      </c>
      <c r="D791">
        <v>60000</v>
      </c>
      <c r="E791">
        <v>2</v>
      </c>
      <c r="F791" t="s">
        <v>27</v>
      </c>
      <c r="G791" t="s">
        <v>21</v>
      </c>
      <c r="H791" t="s">
        <v>18</v>
      </c>
      <c r="I791">
        <v>2</v>
      </c>
      <c r="J791" t="s">
        <v>26</v>
      </c>
      <c r="K791" t="s">
        <v>32</v>
      </c>
      <c r="L791">
        <v>48</v>
      </c>
      <c r="M791" t="str">
        <f t="shared" si="12"/>
        <v>Adolescent</v>
      </c>
      <c r="N791" t="s">
        <v>15</v>
      </c>
    </row>
    <row r="792" spans="1:14" x14ac:dyDescent="0.3">
      <c r="A792">
        <v>28228</v>
      </c>
      <c r="B792" t="s">
        <v>38</v>
      </c>
      <c r="C792" t="s">
        <v>39</v>
      </c>
      <c r="D792">
        <v>80000</v>
      </c>
      <c r="E792">
        <v>2</v>
      </c>
      <c r="F792" t="s">
        <v>29</v>
      </c>
      <c r="G792" t="s">
        <v>14</v>
      </c>
      <c r="H792" t="s">
        <v>18</v>
      </c>
      <c r="I792">
        <v>2</v>
      </c>
      <c r="J792" t="s">
        <v>26</v>
      </c>
      <c r="K792" t="s">
        <v>32</v>
      </c>
      <c r="L792">
        <v>50</v>
      </c>
      <c r="M792" t="str">
        <f t="shared" si="12"/>
        <v>Adolescent</v>
      </c>
      <c r="N792" t="s">
        <v>18</v>
      </c>
    </row>
    <row r="793" spans="1:14" x14ac:dyDescent="0.3">
      <c r="A793">
        <v>18363</v>
      </c>
      <c r="B793" t="s">
        <v>36</v>
      </c>
      <c r="C793" t="s">
        <v>40</v>
      </c>
      <c r="D793">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40</v>
      </c>
      <c r="D79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40</v>
      </c>
      <c r="D79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40</v>
      </c>
      <c r="D796">
        <v>50000</v>
      </c>
      <c r="E796">
        <v>2</v>
      </c>
      <c r="F796" t="s">
        <v>31</v>
      </c>
      <c r="G796" t="s">
        <v>28</v>
      </c>
      <c r="H796" t="s">
        <v>15</v>
      </c>
      <c r="I796">
        <v>2</v>
      </c>
      <c r="J796" t="s">
        <v>23</v>
      </c>
      <c r="K796" t="s">
        <v>32</v>
      </c>
      <c r="L796">
        <v>69</v>
      </c>
      <c r="M796" t="str">
        <f t="shared" si="12"/>
        <v>Middle Age</v>
      </c>
      <c r="N796" t="s">
        <v>18</v>
      </c>
    </row>
    <row r="797" spans="1:14" x14ac:dyDescent="0.3">
      <c r="A797">
        <v>21306</v>
      </c>
      <c r="B797" t="s">
        <v>38</v>
      </c>
      <c r="C797" t="s">
        <v>40</v>
      </c>
      <c r="D797">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40</v>
      </c>
      <c r="D798">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40</v>
      </c>
      <c r="D799">
        <v>60000</v>
      </c>
      <c r="E799">
        <v>0</v>
      </c>
      <c r="F799" t="s">
        <v>19</v>
      </c>
      <c r="G799" t="s">
        <v>14</v>
      </c>
      <c r="H799" t="s">
        <v>15</v>
      </c>
      <c r="I799">
        <v>1</v>
      </c>
      <c r="J799" t="s">
        <v>23</v>
      </c>
      <c r="K799" t="s">
        <v>32</v>
      </c>
      <c r="L799">
        <v>27</v>
      </c>
      <c r="M799" t="str">
        <f t="shared" si="12"/>
        <v>Middle Age</v>
      </c>
      <c r="N799" t="s">
        <v>15</v>
      </c>
    </row>
    <row r="800" spans="1:14" x14ac:dyDescent="0.3">
      <c r="A800">
        <v>22971</v>
      </c>
      <c r="B800" t="s">
        <v>38</v>
      </c>
      <c r="C800" t="s">
        <v>39</v>
      </c>
      <c r="D800">
        <v>30000</v>
      </c>
      <c r="E800">
        <v>0</v>
      </c>
      <c r="F800" t="s">
        <v>27</v>
      </c>
      <c r="G800" t="s">
        <v>14</v>
      </c>
      <c r="H800" t="s">
        <v>18</v>
      </c>
      <c r="I800">
        <v>2</v>
      </c>
      <c r="J800" t="s">
        <v>16</v>
      </c>
      <c r="K800" t="s">
        <v>32</v>
      </c>
      <c r="L800">
        <v>25</v>
      </c>
      <c r="M800" t="str">
        <f t="shared" si="12"/>
        <v>Middle Age</v>
      </c>
      <c r="N800" t="s">
        <v>15</v>
      </c>
    </row>
    <row r="801" spans="1:14" x14ac:dyDescent="0.3">
      <c r="A801">
        <v>15287</v>
      </c>
      <c r="B801" t="s">
        <v>38</v>
      </c>
      <c r="C801" t="s">
        <v>39</v>
      </c>
      <c r="D801">
        <v>50000</v>
      </c>
      <c r="E801">
        <v>1</v>
      </c>
      <c r="F801" t="s">
        <v>31</v>
      </c>
      <c r="G801" t="s">
        <v>14</v>
      </c>
      <c r="H801" t="s">
        <v>15</v>
      </c>
      <c r="I801">
        <v>0</v>
      </c>
      <c r="J801" t="s">
        <v>26</v>
      </c>
      <c r="K801" t="s">
        <v>32</v>
      </c>
      <c r="L801">
        <v>33</v>
      </c>
      <c r="M801" t="str">
        <f t="shared" si="12"/>
        <v>Old</v>
      </c>
      <c r="N801" t="s">
        <v>15</v>
      </c>
    </row>
    <row r="802" spans="1:14" x14ac:dyDescent="0.3">
      <c r="A802">
        <v>15532</v>
      </c>
      <c r="B802" t="s">
        <v>38</v>
      </c>
      <c r="C802" t="s">
        <v>40</v>
      </c>
      <c r="D802">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40</v>
      </c>
      <c r="D80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40</v>
      </c>
      <c r="D80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40</v>
      </c>
      <c r="D805">
        <v>40000</v>
      </c>
      <c r="E805">
        <v>0</v>
      </c>
      <c r="F805" t="s">
        <v>27</v>
      </c>
      <c r="G805" t="s">
        <v>14</v>
      </c>
      <c r="H805" t="s">
        <v>15</v>
      </c>
      <c r="I805">
        <v>2</v>
      </c>
      <c r="J805" t="s">
        <v>23</v>
      </c>
      <c r="K805" t="s">
        <v>32</v>
      </c>
      <c r="L805">
        <v>28</v>
      </c>
      <c r="M805" t="str">
        <f t="shared" si="12"/>
        <v>Middle Age</v>
      </c>
      <c r="N805" t="s">
        <v>15</v>
      </c>
    </row>
    <row r="806" spans="1:14" x14ac:dyDescent="0.3">
      <c r="A806">
        <v>13154</v>
      </c>
      <c r="B806" t="s">
        <v>36</v>
      </c>
      <c r="C806" t="s">
        <v>40</v>
      </c>
      <c r="D806">
        <v>40000</v>
      </c>
      <c r="E806">
        <v>0</v>
      </c>
      <c r="F806" t="s">
        <v>27</v>
      </c>
      <c r="G806" t="s">
        <v>14</v>
      </c>
      <c r="H806" t="s">
        <v>18</v>
      </c>
      <c r="I806">
        <v>2</v>
      </c>
      <c r="J806" t="s">
        <v>16</v>
      </c>
      <c r="K806" t="s">
        <v>32</v>
      </c>
      <c r="L806">
        <v>27</v>
      </c>
      <c r="M806" t="str">
        <f t="shared" si="12"/>
        <v>Middle Age</v>
      </c>
      <c r="N806" t="s">
        <v>15</v>
      </c>
    </row>
    <row r="807" spans="1:14" x14ac:dyDescent="0.3">
      <c r="A807">
        <v>26778</v>
      </c>
      <c r="B807" t="s">
        <v>38</v>
      </c>
      <c r="C807" t="s">
        <v>39</v>
      </c>
      <c r="D807">
        <v>40000</v>
      </c>
      <c r="E807">
        <v>0</v>
      </c>
      <c r="F807" t="s">
        <v>27</v>
      </c>
      <c r="G807" t="s">
        <v>14</v>
      </c>
      <c r="H807" t="s">
        <v>15</v>
      </c>
      <c r="I807">
        <v>2</v>
      </c>
      <c r="J807" t="s">
        <v>23</v>
      </c>
      <c r="K807" t="s">
        <v>32</v>
      </c>
      <c r="L807">
        <v>31</v>
      </c>
      <c r="M807" t="str">
        <f t="shared" si="12"/>
        <v>Adolescent</v>
      </c>
      <c r="N807" t="s">
        <v>18</v>
      </c>
    </row>
    <row r="808" spans="1:14" x14ac:dyDescent="0.3">
      <c r="A808">
        <v>23248</v>
      </c>
      <c r="B808" t="s">
        <v>36</v>
      </c>
      <c r="C808" t="s">
        <v>39</v>
      </c>
      <c r="D808">
        <v>10000</v>
      </c>
      <c r="E808">
        <v>2</v>
      </c>
      <c r="F808" t="s">
        <v>27</v>
      </c>
      <c r="G808" t="s">
        <v>25</v>
      </c>
      <c r="H808" t="s">
        <v>15</v>
      </c>
      <c r="I808">
        <v>2</v>
      </c>
      <c r="J808" t="s">
        <v>26</v>
      </c>
      <c r="K808" t="s">
        <v>32</v>
      </c>
      <c r="L808">
        <v>53</v>
      </c>
      <c r="M808" t="str">
        <f t="shared" si="12"/>
        <v>Adolescent</v>
      </c>
      <c r="N808" t="s">
        <v>18</v>
      </c>
    </row>
    <row r="809" spans="1:14" x14ac:dyDescent="0.3">
      <c r="A809">
        <v>21417</v>
      </c>
      <c r="B809" t="s">
        <v>38</v>
      </c>
      <c r="C809" t="s">
        <v>39</v>
      </c>
      <c r="D809">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40</v>
      </c>
      <c r="D810">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v>40000</v>
      </c>
      <c r="E811">
        <v>4</v>
      </c>
      <c r="F811" t="s">
        <v>27</v>
      </c>
      <c r="G811" t="s">
        <v>21</v>
      </c>
      <c r="H811" t="s">
        <v>15</v>
      </c>
      <c r="I811">
        <v>2</v>
      </c>
      <c r="J811" t="s">
        <v>23</v>
      </c>
      <c r="K811" t="s">
        <v>32</v>
      </c>
      <c r="L811">
        <v>69</v>
      </c>
      <c r="M811" t="str">
        <f t="shared" si="12"/>
        <v>Middle Age</v>
      </c>
      <c r="N811" t="s">
        <v>18</v>
      </c>
    </row>
    <row r="812" spans="1:14" x14ac:dyDescent="0.3">
      <c r="A812">
        <v>20376</v>
      </c>
      <c r="B812" t="s">
        <v>38</v>
      </c>
      <c r="C812" t="s">
        <v>39</v>
      </c>
      <c r="D812">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40</v>
      </c>
      <c r="D81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v>70000</v>
      </c>
      <c r="E814">
        <v>4</v>
      </c>
      <c r="F814" t="s">
        <v>13</v>
      </c>
      <c r="G814" t="s">
        <v>28</v>
      </c>
      <c r="H814" t="s">
        <v>15</v>
      </c>
      <c r="I814">
        <v>2</v>
      </c>
      <c r="J814" t="s">
        <v>47</v>
      </c>
      <c r="K814" t="s">
        <v>32</v>
      </c>
      <c r="L814">
        <v>61</v>
      </c>
      <c r="M814" t="str">
        <f t="shared" si="12"/>
        <v>Middle Age</v>
      </c>
      <c r="N814" t="s">
        <v>18</v>
      </c>
    </row>
    <row r="815" spans="1:14" x14ac:dyDescent="0.3">
      <c r="A815">
        <v>25899</v>
      </c>
      <c r="B815" t="s">
        <v>36</v>
      </c>
      <c r="C815" t="s">
        <v>39</v>
      </c>
      <c r="D815">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39</v>
      </c>
      <c r="D816">
        <v>70000</v>
      </c>
      <c r="E816">
        <v>4</v>
      </c>
      <c r="F816" t="s">
        <v>13</v>
      </c>
      <c r="G816" t="s">
        <v>28</v>
      </c>
      <c r="H816" t="s">
        <v>15</v>
      </c>
      <c r="I816">
        <v>2</v>
      </c>
      <c r="J816" t="s">
        <v>26</v>
      </c>
      <c r="K816" t="s">
        <v>32</v>
      </c>
      <c r="L816">
        <v>62</v>
      </c>
      <c r="M816" t="str">
        <f t="shared" si="12"/>
        <v>Middle Age</v>
      </c>
      <c r="N816" t="s">
        <v>15</v>
      </c>
    </row>
    <row r="817" spans="1:14" x14ac:dyDescent="0.3">
      <c r="A817">
        <v>23333</v>
      </c>
      <c r="B817" t="s">
        <v>36</v>
      </c>
      <c r="C817" t="s">
        <v>40</v>
      </c>
      <c r="D817">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v>60000</v>
      </c>
      <c r="E818">
        <v>3</v>
      </c>
      <c r="F818" t="s">
        <v>31</v>
      </c>
      <c r="G818" t="s">
        <v>21</v>
      </c>
      <c r="H818" t="s">
        <v>15</v>
      </c>
      <c r="I818">
        <v>0</v>
      </c>
      <c r="J818" t="s">
        <v>22</v>
      </c>
      <c r="K818" t="s">
        <v>32</v>
      </c>
      <c r="L818">
        <v>43</v>
      </c>
      <c r="M818" t="str">
        <f t="shared" si="12"/>
        <v>Old</v>
      </c>
      <c r="N818" t="s">
        <v>15</v>
      </c>
    </row>
    <row r="819" spans="1:14" x14ac:dyDescent="0.3">
      <c r="A819">
        <v>17012</v>
      </c>
      <c r="B819" t="s">
        <v>36</v>
      </c>
      <c r="C819" t="s">
        <v>39</v>
      </c>
      <c r="D819">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40</v>
      </c>
      <c r="D820">
        <v>40000</v>
      </c>
      <c r="E820">
        <v>0</v>
      </c>
      <c r="F820" t="s">
        <v>19</v>
      </c>
      <c r="G820" t="s">
        <v>14</v>
      </c>
      <c r="H820" t="s">
        <v>15</v>
      </c>
      <c r="I820">
        <v>1</v>
      </c>
      <c r="J820" t="s">
        <v>23</v>
      </c>
      <c r="K820" t="s">
        <v>32</v>
      </c>
      <c r="L820">
        <v>30</v>
      </c>
      <c r="M820" t="str">
        <f t="shared" si="12"/>
        <v>Middle Age</v>
      </c>
      <c r="N820" t="s">
        <v>18</v>
      </c>
    </row>
    <row r="821" spans="1:14" x14ac:dyDescent="0.3">
      <c r="A821">
        <v>27505</v>
      </c>
      <c r="B821" t="s">
        <v>38</v>
      </c>
      <c r="C821" t="s">
        <v>39</v>
      </c>
      <c r="D821">
        <v>40000</v>
      </c>
      <c r="E821">
        <v>0</v>
      </c>
      <c r="F821" t="s">
        <v>27</v>
      </c>
      <c r="G821" t="s">
        <v>14</v>
      </c>
      <c r="H821" t="s">
        <v>15</v>
      </c>
      <c r="I821">
        <v>2</v>
      </c>
      <c r="J821" t="s">
        <v>23</v>
      </c>
      <c r="K821" t="s">
        <v>32</v>
      </c>
      <c r="L821">
        <v>30</v>
      </c>
      <c r="M821" t="str">
        <f t="shared" si="12"/>
        <v>Middle Age</v>
      </c>
      <c r="N821" t="s">
        <v>18</v>
      </c>
    </row>
    <row r="822" spans="1:14" x14ac:dyDescent="0.3">
      <c r="A822">
        <v>29243</v>
      </c>
      <c r="B822" t="s">
        <v>38</v>
      </c>
      <c r="C822" t="s">
        <v>40</v>
      </c>
      <c r="D822">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40</v>
      </c>
      <c r="D82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40</v>
      </c>
      <c r="D824">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v>70000</v>
      </c>
      <c r="E825">
        <v>4</v>
      </c>
      <c r="F825" t="s">
        <v>27</v>
      </c>
      <c r="G825" t="s">
        <v>21</v>
      </c>
      <c r="H825" t="s">
        <v>15</v>
      </c>
      <c r="I825">
        <v>0</v>
      </c>
      <c r="J825" t="s">
        <v>23</v>
      </c>
      <c r="K825" t="s">
        <v>32</v>
      </c>
      <c r="L825">
        <v>50</v>
      </c>
      <c r="M825" t="str">
        <f t="shared" si="12"/>
        <v>Adolescent</v>
      </c>
      <c r="N825" t="s">
        <v>15</v>
      </c>
    </row>
    <row r="826" spans="1:14" x14ac:dyDescent="0.3">
      <c r="A826">
        <v>29048</v>
      </c>
      <c r="B826" t="s">
        <v>38</v>
      </c>
      <c r="C826" t="s">
        <v>40</v>
      </c>
      <c r="D826">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40</v>
      </c>
      <c r="D827">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40</v>
      </c>
      <c r="D828">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v>40000</v>
      </c>
      <c r="E830">
        <v>0</v>
      </c>
      <c r="F830" t="s">
        <v>29</v>
      </c>
      <c r="G830" t="s">
        <v>20</v>
      </c>
      <c r="H830" t="s">
        <v>15</v>
      </c>
      <c r="I830">
        <v>2</v>
      </c>
      <c r="J830" t="s">
        <v>23</v>
      </c>
      <c r="K830" t="s">
        <v>32</v>
      </c>
      <c r="L830">
        <v>26</v>
      </c>
      <c r="M830" t="str">
        <f t="shared" si="12"/>
        <v>Old</v>
      </c>
      <c r="N830" t="s">
        <v>18</v>
      </c>
    </row>
    <row r="831" spans="1:14" x14ac:dyDescent="0.3">
      <c r="A831">
        <v>16009</v>
      </c>
      <c r="B831" t="s">
        <v>38</v>
      </c>
      <c r="C831" t="s">
        <v>40</v>
      </c>
      <c r="D831">
        <v>170000</v>
      </c>
      <c r="E831">
        <v>1</v>
      </c>
      <c r="F831" t="s">
        <v>31</v>
      </c>
      <c r="G831" t="s">
        <v>28</v>
      </c>
      <c r="H831" t="s">
        <v>18</v>
      </c>
      <c r="I831">
        <v>4</v>
      </c>
      <c r="J831" t="s">
        <v>16</v>
      </c>
      <c r="K831" t="s">
        <v>32</v>
      </c>
      <c r="L831">
        <v>66</v>
      </c>
      <c r="M831" t="str">
        <f t="shared" si="12"/>
        <v>Middle Age</v>
      </c>
      <c r="N831" t="s">
        <v>18</v>
      </c>
    </row>
    <row r="832" spans="1:14" x14ac:dyDescent="0.3">
      <c r="A832">
        <v>18411</v>
      </c>
      <c r="B832" t="s">
        <v>36</v>
      </c>
      <c r="C832" t="s">
        <v>40</v>
      </c>
      <c r="D832">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v>70000</v>
      </c>
      <c r="E833">
        <v>4</v>
      </c>
      <c r="F833" t="s">
        <v>13</v>
      </c>
      <c r="G833" t="s">
        <v>21</v>
      </c>
      <c r="H833" t="s">
        <v>15</v>
      </c>
      <c r="I833">
        <v>2</v>
      </c>
      <c r="J833" t="s">
        <v>16</v>
      </c>
      <c r="K833" t="s">
        <v>32</v>
      </c>
      <c r="L833">
        <v>43</v>
      </c>
      <c r="M833" t="str">
        <f t="shared" si="12"/>
        <v>Old</v>
      </c>
      <c r="N833" t="s">
        <v>15</v>
      </c>
    </row>
    <row r="834" spans="1:14" x14ac:dyDescent="0.3">
      <c r="A834">
        <v>18572</v>
      </c>
      <c r="B834" t="s">
        <v>36</v>
      </c>
      <c r="C834" t="s">
        <v>39</v>
      </c>
      <c r="D834">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v>70000</v>
      </c>
      <c r="E835">
        <v>0</v>
      </c>
      <c r="F835" t="s">
        <v>13</v>
      </c>
      <c r="G835" t="s">
        <v>21</v>
      </c>
      <c r="H835" t="s">
        <v>18</v>
      </c>
      <c r="I835">
        <v>1</v>
      </c>
      <c r="J835" t="s">
        <v>16</v>
      </c>
      <c r="K835" t="s">
        <v>32</v>
      </c>
      <c r="L835">
        <v>37</v>
      </c>
      <c r="M835" t="str">
        <f t="shared" ref="M835:M898" si="13">IF(L848&gt;54, "Old", IF(L848&gt;=31, "Middle Age", IF(L848&lt;31, "Adolescent", "Invalid")))</f>
        <v>Old</v>
      </c>
      <c r="N835" t="s">
        <v>15</v>
      </c>
    </row>
    <row r="836" spans="1:14" x14ac:dyDescent="0.3">
      <c r="A836">
        <v>19889</v>
      </c>
      <c r="B836" t="s">
        <v>38</v>
      </c>
      <c r="C836" t="s">
        <v>39</v>
      </c>
      <c r="D836">
        <v>70000</v>
      </c>
      <c r="E836">
        <v>2</v>
      </c>
      <c r="F836" t="s">
        <v>29</v>
      </c>
      <c r="G836" t="s">
        <v>14</v>
      </c>
      <c r="H836" t="s">
        <v>18</v>
      </c>
      <c r="I836">
        <v>2</v>
      </c>
      <c r="J836" t="s">
        <v>22</v>
      </c>
      <c r="K836" t="s">
        <v>32</v>
      </c>
      <c r="L836">
        <v>54</v>
      </c>
      <c r="M836" t="str">
        <f t="shared" si="13"/>
        <v>Adolescent</v>
      </c>
      <c r="N836" t="s">
        <v>15</v>
      </c>
    </row>
    <row r="837" spans="1:14" x14ac:dyDescent="0.3">
      <c r="A837">
        <v>12922</v>
      </c>
      <c r="B837" t="s">
        <v>38</v>
      </c>
      <c r="C837" t="s">
        <v>39</v>
      </c>
      <c r="D837">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v>40000</v>
      </c>
      <c r="E838">
        <v>0</v>
      </c>
      <c r="F838" t="s">
        <v>19</v>
      </c>
      <c r="G838" t="s">
        <v>14</v>
      </c>
      <c r="H838" t="s">
        <v>15</v>
      </c>
      <c r="I838">
        <v>2</v>
      </c>
      <c r="J838" t="s">
        <v>23</v>
      </c>
      <c r="K838" t="s">
        <v>32</v>
      </c>
      <c r="L838">
        <v>28</v>
      </c>
      <c r="M838" t="str">
        <f t="shared" si="13"/>
        <v>Old</v>
      </c>
      <c r="N838" t="s">
        <v>18</v>
      </c>
    </row>
    <row r="839" spans="1:14" x14ac:dyDescent="0.3">
      <c r="A839">
        <v>16773</v>
      </c>
      <c r="B839" t="s">
        <v>36</v>
      </c>
      <c r="C839" t="s">
        <v>40</v>
      </c>
      <c r="D839">
        <v>60000</v>
      </c>
      <c r="E839">
        <v>1</v>
      </c>
      <c r="F839" t="s">
        <v>31</v>
      </c>
      <c r="G839" t="s">
        <v>14</v>
      </c>
      <c r="H839" t="s">
        <v>15</v>
      </c>
      <c r="I839">
        <v>0</v>
      </c>
      <c r="J839" t="s">
        <v>16</v>
      </c>
      <c r="K839" t="s">
        <v>32</v>
      </c>
      <c r="L839">
        <v>33</v>
      </c>
      <c r="M839" t="str">
        <f t="shared" si="13"/>
        <v>Old</v>
      </c>
      <c r="N839" t="s">
        <v>18</v>
      </c>
    </row>
    <row r="840" spans="1:14" x14ac:dyDescent="0.3">
      <c r="A840">
        <v>19143</v>
      </c>
      <c r="B840" t="s">
        <v>38</v>
      </c>
      <c r="C840" t="s">
        <v>39</v>
      </c>
      <c r="D840">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40</v>
      </c>
      <c r="D842">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40</v>
      </c>
      <c r="D843">
        <v>120000</v>
      </c>
      <c r="E843">
        <v>2</v>
      </c>
      <c r="F843" t="s">
        <v>31</v>
      </c>
      <c r="G843" t="s">
        <v>28</v>
      </c>
      <c r="H843" t="s">
        <v>15</v>
      </c>
      <c r="I843">
        <v>3</v>
      </c>
      <c r="J843" t="s">
        <v>23</v>
      </c>
      <c r="K843" t="s">
        <v>32</v>
      </c>
      <c r="L843">
        <v>64</v>
      </c>
      <c r="M843" t="str">
        <f t="shared" si="13"/>
        <v>Middle Age</v>
      </c>
      <c r="N843" t="s">
        <v>18</v>
      </c>
    </row>
    <row r="844" spans="1:14" x14ac:dyDescent="0.3">
      <c r="A844">
        <v>15555</v>
      </c>
      <c r="B844" t="s">
        <v>36</v>
      </c>
      <c r="C844" t="s">
        <v>39</v>
      </c>
      <c r="D844">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40</v>
      </c>
      <c r="D845">
        <v>80000</v>
      </c>
      <c r="E845">
        <v>2</v>
      </c>
      <c r="F845" t="s">
        <v>29</v>
      </c>
      <c r="G845" t="s">
        <v>14</v>
      </c>
      <c r="H845" t="s">
        <v>18</v>
      </c>
      <c r="I845">
        <v>2</v>
      </c>
      <c r="J845" t="s">
        <v>26</v>
      </c>
      <c r="K845" t="s">
        <v>32</v>
      </c>
      <c r="L845">
        <v>52</v>
      </c>
      <c r="M845" t="str">
        <f t="shared" si="13"/>
        <v>Adolescent</v>
      </c>
      <c r="N845" t="s">
        <v>18</v>
      </c>
    </row>
    <row r="846" spans="1:14" x14ac:dyDescent="0.3">
      <c r="A846">
        <v>22743</v>
      </c>
      <c r="B846" t="s">
        <v>36</v>
      </c>
      <c r="C846" t="s">
        <v>39</v>
      </c>
      <c r="D846">
        <v>40000</v>
      </c>
      <c r="E846">
        <v>5</v>
      </c>
      <c r="F846" t="s">
        <v>27</v>
      </c>
      <c r="G846" t="s">
        <v>21</v>
      </c>
      <c r="H846" t="s">
        <v>15</v>
      </c>
      <c r="I846">
        <v>2</v>
      </c>
      <c r="J846" t="s">
        <v>47</v>
      </c>
      <c r="K846" t="s">
        <v>32</v>
      </c>
      <c r="L846">
        <v>60</v>
      </c>
      <c r="M846" t="str">
        <f t="shared" si="13"/>
        <v>Middle Age</v>
      </c>
      <c r="N846" t="s">
        <v>18</v>
      </c>
    </row>
    <row r="847" spans="1:14" x14ac:dyDescent="0.3">
      <c r="A847">
        <v>25343</v>
      </c>
      <c r="B847" t="s">
        <v>38</v>
      </c>
      <c r="C847" t="s">
        <v>39</v>
      </c>
      <c r="D847">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v>70000</v>
      </c>
      <c r="E848">
        <v>4</v>
      </c>
      <c r="F848" t="s">
        <v>19</v>
      </c>
      <c r="G848" t="s">
        <v>21</v>
      </c>
      <c r="H848" t="s">
        <v>18</v>
      </c>
      <c r="I848">
        <v>1</v>
      </c>
      <c r="J848" t="s">
        <v>26</v>
      </c>
      <c r="K848" t="s">
        <v>32</v>
      </c>
      <c r="L848">
        <v>56</v>
      </c>
      <c r="M848" t="str">
        <f t="shared" si="13"/>
        <v>Middle Age</v>
      </c>
      <c r="N848" t="s">
        <v>18</v>
      </c>
    </row>
    <row r="849" spans="1:14" x14ac:dyDescent="0.3">
      <c r="A849">
        <v>17482</v>
      </c>
      <c r="B849" t="s">
        <v>38</v>
      </c>
      <c r="C849" t="s">
        <v>39</v>
      </c>
      <c r="D849">
        <v>40000</v>
      </c>
      <c r="E849">
        <v>0</v>
      </c>
      <c r="F849" t="s">
        <v>29</v>
      </c>
      <c r="G849" t="s">
        <v>20</v>
      </c>
      <c r="H849" t="s">
        <v>15</v>
      </c>
      <c r="I849">
        <v>2</v>
      </c>
      <c r="J849" t="s">
        <v>23</v>
      </c>
      <c r="K849" t="s">
        <v>32</v>
      </c>
      <c r="L849">
        <v>29</v>
      </c>
      <c r="M849" t="str">
        <f t="shared" si="13"/>
        <v>Middle Age</v>
      </c>
      <c r="N849" t="s">
        <v>18</v>
      </c>
    </row>
    <row r="850" spans="1:14" x14ac:dyDescent="0.3">
      <c r="A850">
        <v>13176</v>
      </c>
      <c r="B850" t="s">
        <v>38</v>
      </c>
      <c r="C850" t="s">
        <v>40</v>
      </c>
      <c r="D850">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v>40000</v>
      </c>
      <c r="E851">
        <v>5</v>
      </c>
      <c r="F851" t="s">
        <v>27</v>
      </c>
      <c r="G851" t="s">
        <v>21</v>
      </c>
      <c r="H851" t="s">
        <v>18</v>
      </c>
      <c r="I851">
        <v>2</v>
      </c>
      <c r="J851" t="s">
        <v>22</v>
      </c>
      <c r="K851" t="s">
        <v>32</v>
      </c>
      <c r="L851">
        <v>60</v>
      </c>
      <c r="M851" t="str">
        <f t="shared" si="13"/>
        <v>Middle Age</v>
      </c>
      <c r="N851" t="s">
        <v>18</v>
      </c>
    </row>
    <row r="852" spans="1:14" x14ac:dyDescent="0.3">
      <c r="A852">
        <v>12205</v>
      </c>
      <c r="B852" t="s">
        <v>38</v>
      </c>
      <c r="C852" t="s">
        <v>39</v>
      </c>
      <c r="D852">
        <v>130000</v>
      </c>
      <c r="E852">
        <v>2</v>
      </c>
      <c r="F852" t="s">
        <v>13</v>
      </c>
      <c r="G852" t="s">
        <v>28</v>
      </c>
      <c r="H852" t="s">
        <v>18</v>
      </c>
      <c r="I852">
        <v>4</v>
      </c>
      <c r="J852" t="s">
        <v>16</v>
      </c>
      <c r="K852" t="s">
        <v>32</v>
      </c>
      <c r="L852">
        <v>67</v>
      </c>
      <c r="M852" t="str">
        <f t="shared" si="13"/>
        <v>Middle Age</v>
      </c>
      <c r="N852" t="s">
        <v>18</v>
      </c>
    </row>
    <row r="853" spans="1:14" x14ac:dyDescent="0.3">
      <c r="A853">
        <v>16751</v>
      </c>
      <c r="B853" t="s">
        <v>36</v>
      </c>
      <c r="C853" t="s">
        <v>40</v>
      </c>
      <c r="D85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40</v>
      </c>
      <c r="D854">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40</v>
      </c>
      <c r="D855">
        <v>60000</v>
      </c>
      <c r="E855">
        <v>1</v>
      </c>
      <c r="F855" t="s">
        <v>31</v>
      </c>
      <c r="G855" t="s">
        <v>21</v>
      </c>
      <c r="H855" t="s">
        <v>15</v>
      </c>
      <c r="I855">
        <v>0</v>
      </c>
      <c r="J855" t="s">
        <v>22</v>
      </c>
      <c r="K855" t="s">
        <v>32</v>
      </c>
      <c r="L855">
        <v>35</v>
      </c>
      <c r="M855" t="str">
        <f t="shared" si="13"/>
        <v>Old</v>
      </c>
      <c r="N855" t="s">
        <v>15</v>
      </c>
    </row>
    <row r="856" spans="1:14" x14ac:dyDescent="0.3">
      <c r="A856">
        <v>17519</v>
      </c>
      <c r="B856" t="s">
        <v>36</v>
      </c>
      <c r="C856" t="s">
        <v>39</v>
      </c>
      <c r="D856">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v>30000</v>
      </c>
      <c r="E857">
        <v>0</v>
      </c>
      <c r="F857" t="s">
        <v>19</v>
      </c>
      <c r="G857" t="s">
        <v>14</v>
      </c>
      <c r="H857" t="s">
        <v>18</v>
      </c>
      <c r="I857">
        <v>1</v>
      </c>
      <c r="J857" t="s">
        <v>26</v>
      </c>
      <c r="K857" t="s">
        <v>32</v>
      </c>
      <c r="L857">
        <v>31</v>
      </c>
      <c r="M857" t="str">
        <f t="shared" si="13"/>
        <v>Old</v>
      </c>
      <c r="N857" t="s">
        <v>18</v>
      </c>
    </row>
    <row r="858" spans="1:14" x14ac:dyDescent="0.3">
      <c r="A858">
        <v>29052</v>
      </c>
      <c r="B858" t="s">
        <v>38</v>
      </c>
      <c r="C858" t="s">
        <v>40</v>
      </c>
      <c r="D858">
        <v>40000</v>
      </c>
      <c r="E858">
        <v>0</v>
      </c>
      <c r="F858" t="s">
        <v>19</v>
      </c>
      <c r="G858" t="s">
        <v>14</v>
      </c>
      <c r="H858" t="s">
        <v>15</v>
      </c>
      <c r="I858">
        <v>1</v>
      </c>
      <c r="J858" t="s">
        <v>23</v>
      </c>
      <c r="K858" t="s">
        <v>32</v>
      </c>
      <c r="L858">
        <v>27</v>
      </c>
      <c r="M858" t="str">
        <f t="shared" si="13"/>
        <v>Middle Age</v>
      </c>
      <c r="N858" t="s">
        <v>18</v>
      </c>
    </row>
    <row r="859" spans="1:14" x14ac:dyDescent="0.3">
      <c r="A859">
        <v>11745</v>
      </c>
      <c r="B859" t="s">
        <v>36</v>
      </c>
      <c r="C859" t="s">
        <v>39</v>
      </c>
      <c r="D859">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40</v>
      </c>
      <c r="D860">
        <v>40000</v>
      </c>
      <c r="E860">
        <v>0</v>
      </c>
      <c r="F860" t="s">
        <v>13</v>
      </c>
      <c r="G860" t="s">
        <v>21</v>
      </c>
      <c r="H860" t="s">
        <v>18</v>
      </c>
      <c r="I860">
        <v>1</v>
      </c>
      <c r="J860" t="s">
        <v>16</v>
      </c>
      <c r="K860" t="s">
        <v>32</v>
      </c>
      <c r="L860">
        <v>42</v>
      </c>
      <c r="M860" t="str">
        <f t="shared" si="13"/>
        <v>Old</v>
      </c>
      <c r="N860" t="s">
        <v>18</v>
      </c>
    </row>
    <row r="861" spans="1:14" x14ac:dyDescent="0.3">
      <c r="A861">
        <v>19217</v>
      </c>
      <c r="B861" t="s">
        <v>36</v>
      </c>
      <c r="C861" t="s">
        <v>40</v>
      </c>
      <c r="D861">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40</v>
      </c>
      <c r="D862">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40</v>
      </c>
      <c r="D864">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40</v>
      </c>
      <c r="D865">
        <v>80000</v>
      </c>
      <c r="E865">
        <v>0</v>
      </c>
      <c r="F865" t="s">
        <v>13</v>
      </c>
      <c r="G865" t="s">
        <v>28</v>
      </c>
      <c r="H865" t="s">
        <v>18</v>
      </c>
      <c r="I865">
        <v>1</v>
      </c>
      <c r="J865" t="s">
        <v>16</v>
      </c>
      <c r="K865" t="s">
        <v>32</v>
      </c>
      <c r="L865">
        <v>38</v>
      </c>
      <c r="M865" t="str">
        <f t="shared" si="13"/>
        <v>Adolescent</v>
      </c>
      <c r="N865" t="s">
        <v>15</v>
      </c>
    </row>
    <row r="866" spans="1:14" x14ac:dyDescent="0.3">
      <c r="A866">
        <v>25041</v>
      </c>
      <c r="B866" t="s">
        <v>38</v>
      </c>
      <c r="C866" t="s">
        <v>40</v>
      </c>
      <c r="D866">
        <v>40000</v>
      </c>
      <c r="E866">
        <v>0</v>
      </c>
      <c r="F866" t="s">
        <v>27</v>
      </c>
      <c r="G866" t="s">
        <v>14</v>
      </c>
      <c r="H866" t="s">
        <v>15</v>
      </c>
      <c r="I866">
        <v>2</v>
      </c>
      <c r="J866" t="s">
        <v>23</v>
      </c>
      <c r="K866" t="s">
        <v>32</v>
      </c>
      <c r="L866">
        <v>31</v>
      </c>
      <c r="M866" t="str">
        <f t="shared" si="13"/>
        <v>Old</v>
      </c>
      <c r="N866" t="s">
        <v>18</v>
      </c>
    </row>
    <row r="867" spans="1:14" x14ac:dyDescent="0.3">
      <c r="A867">
        <v>22046</v>
      </c>
      <c r="B867" t="s">
        <v>38</v>
      </c>
      <c r="C867" t="s">
        <v>39</v>
      </c>
      <c r="D867">
        <v>80000</v>
      </c>
      <c r="E867">
        <v>0</v>
      </c>
      <c r="F867" t="s">
        <v>13</v>
      </c>
      <c r="G867" t="s">
        <v>28</v>
      </c>
      <c r="H867" t="s">
        <v>18</v>
      </c>
      <c r="I867">
        <v>1</v>
      </c>
      <c r="J867" t="s">
        <v>16</v>
      </c>
      <c r="K867" t="s">
        <v>32</v>
      </c>
      <c r="L867">
        <v>38</v>
      </c>
      <c r="M867" t="str">
        <f t="shared" si="13"/>
        <v>Old</v>
      </c>
      <c r="N867" t="s">
        <v>15</v>
      </c>
    </row>
    <row r="868" spans="1:14" x14ac:dyDescent="0.3">
      <c r="A868">
        <v>28052</v>
      </c>
      <c r="B868" t="s">
        <v>36</v>
      </c>
      <c r="C868" t="s">
        <v>40</v>
      </c>
      <c r="D868">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40</v>
      </c>
      <c r="D869">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40</v>
      </c>
      <c r="D870">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39</v>
      </c>
      <c r="D87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40</v>
      </c>
      <c r="D872">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40</v>
      </c>
      <c r="D873">
        <v>60000</v>
      </c>
      <c r="E873">
        <v>2</v>
      </c>
      <c r="F873" t="s">
        <v>27</v>
      </c>
      <c r="G873" t="s">
        <v>21</v>
      </c>
      <c r="H873" t="s">
        <v>15</v>
      </c>
      <c r="I873">
        <v>2</v>
      </c>
      <c r="J873" t="s">
        <v>47</v>
      </c>
      <c r="K873" t="s">
        <v>32</v>
      </c>
      <c r="L873">
        <v>55</v>
      </c>
      <c r="M873" t="str">
        <f t="shared" si="13"/>
        <v>Old</v>
      </c>
      <c r="N873" t="s">
        <v>18</v>
      </c>
    </row>
    <row r="874" spans="1:14" x14ac:dyDescent="0.3">
      <c r="A874">
        <v>22118</v>
      </c>
      <c r="B874" t="s">
        <v>38</v>
      </c>
      <c r="C874" t="s">
        <v>39</v>
      </c>
      <c r="D87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40</v>
      </c>
      <c r="D87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40</v>
      </c>
      <c r="D878">
        <v>30000</v>
      </c>
      <c r="E878">
        <v>0</v>
      </c>
      <c r="F878" t="s">
        <v>29</v>
      </c>
      <c r="G878" t="s">
        <v>20</v>
      </c>
      <c r="H878" t="s">
        <v>18</v>
      </c>
      <c r="I878">
        <v>2</v>
      </c>
      <c r="J878" t="s">
        <v>16</v>
      </c>
      <c r="K878" t="s">
        <v>32</v>
      </c>
      <c r="L878">
        <v>26</v>
      </c>
      <c r="M878" t="str">
        <f t="shared" si="13"/>
        <v>Middle Age</v>
      </c>
      <c r="N878" t="s">
        <v>18</v>
      </c>
    </row>
    <row r="879" spans="1:14" x14ac:dyDescent="0.3">
      <c r="A879">
        <v>15879</v>
      </c>
      <c r="B879" t="s">
        <v>36</v>
      </c>
      <c r="C879" t="s">
        <v>40</v>
      </c>
      <c r="D879">
        <v>70000</v>
      </c>
      <c r="E879">
        <v>5</v>
      </c>
      <c r="F879" t="s">
        <v>13</v>
      </c>
      <c r="G879" t="s">
        <v>28</v>
      </c>
      <c r="H879" t="s">
        <v>15</v>
      </c>
      <c r="I879">
        <v>2</v>
      </c>
      <c r="J879" t="s">
        <v>22</v>
      </c>
      <c r="K879" t="s">
        <v>32</v>
      </c>
      <c r="L879">
        <v>61</v>
      </c>
      <c r="M879" t="str">
        <f t="shared" si="13"/>
        <v>Middle Age</v>
      </c>
      <c r="N879" t="s">
        <v>18</v>
      </c>
    </row>
    <row r="880" spans="1:14" x14ac:dyDescent="0.3">
      <c r="A880">
        <v>28278</v>
      </c>
      <c r="B880" t="s">
        <v>36</v>
      </c>
      <c r="C880" t="s">
        <v>40</v>
      </c>
      <c r="D880">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40</v>
      </c>
      <c r="D88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40</v>
      </c>
      <c r="D882">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v>80000</v>
      </c>
      <c r="E883">
        <v>4</v>
      </c>
      <c r="F883" t="s">
        <v>31</v>
      </c>
      <c r="G883" t="s">
        <v>28</v>
      </c>
      <c r="H883" t="s">
        <v>15</v>
      </c>
      <c r="I883">
        <v>2</v>
      </c>
      <c r="J883" t="s">
        <v>16</v>
      </c>
      <c r="K883" t="s">
        <v>32</v>
      </c>
      <c r="L883">
        <v>72</v>
      </c>
      <c r="M883" t="str">
        <f t="shared" si="13"/>
        <v>Middle Age</v>
      </c>
      <c r="N883" t="s">
        <v>15</v>
      </c>
    </row>
    <row r="884" spans="1:14" x14ac:dyDescent="0.3">
      <c r="A884">
        <v>14872</v>
      </c>
      <c r="B884" t="s">
        <v>36</v>
      </c>
      <c r="C884" t="s">
        <v>40</v>
      </c>
      <c r="D884">
        <v>30000</v>
      </c>
      <c r="E884">
        <v>0</v>
      </c>
      <c r="F884" t="s">
        <v>31</v>
      </c>
      <c r="G884" t="s">
        <v>14</v>
      </c>
      <c r="H884" t="s">
        <v>15</v>
      </c>
      <c r="I884">
        <v>0</v>
      </c>
      <c r="J884" t="s">
        <v>16</v>
      </c>
      <c r="K884" t="s">
        <v>32</v>
      </c>
      <c r="L884">
        <v>32</v>
      </c>
      <c r="M884" t="str">
        <f t="shared" si="13"/>
        <v>Old</v>
      </c>
      <c r="N884" t="s">
        <v>18</v>
      </c>
    </row>
    <row r="885" spans="1:14" x14ac:dyDescent="0.3">
      <c r="A885">
        <v>16151</v>
      </c>
      <c r="B885" t="s">
        <v>36</v>
      </c>
      <c r="C885" t="s">
        <v>39</v>
      </c>
      <c r="D88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40</v>
      </c>
      <c r="D886">
        <v>80000</v>
      </c>
      <c r="E886">
        <v>4</v>
      </c>
      <c r="F886" t="s">
        <v>31</v>
      </c>
      <c r="G886" t="s">
        <v>28</v>
      </c>
      <c r="H886" t="s">
        <v>15</v>
      </c>
      <c r="I886">
        <v>2</v>
      </c>
      <c r="J886" t="s">
        <v>23</v>
      </c>
      <c r="K886" t="s">
        <v>32</v>
      </c>
      <c r="L886">
        <v>68</v>
      </c>
      <c r="M886" t="str">
        <f t="shared" si="13"/>
        <v>Adolescent</v>
      </c>
      <c r="N886" t="s">
        <v>18</v>
      </c>
    </row>
    <row r="887" spans="1:14" x14ac:dyDescent="0.3">
      <c r="A887">
        <v>23801</v>
      </c>
      <c r="B887" t="s">
        <v>36</v>
      </c>
      <c r="C887" t="s">
        <v>39</v>
      </c>
      <c r="D887">
        <v>20000</v>
      </c>
      <c r="E887">
        <v>2</v>
      </c>
      <c r="F887" t="s">
        <v>29</v>
      </c>
      <c r="G887" t="s">
        <v>20</v>
      </c>
      <c r="H887" t="s">
        <v>15</v>
      </c>
      <c r="I887">
        <v>2</v>
      </c>
      <c r="J887" t="s">
        <v>16</v>
      </c>
      <c r="K887" t="s">
        <v>32</v>
      </c>
      <c r="L887">
        <v>49</v>
      </c>
      <c r="M887" t="str">
        <f t="shared" si="13"/>
        <v>Old</v>
      </c>
      <c r="N887" t="s">
        <v>18</v>
      </c>
    </row>
    <row r="888" spans="1:14" x14ac:dyDescent="0.3">
      <c r="A888">
        <v>11807</v>
      </c>
      <c r="B888" t="s">
        <v>36</v>
      </c>
      <c r="C888" t="s">
        <v>40</v>
      </c>
      <c r="D888">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40</v>
      </c>
      <c r="D889">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v>40000</v>
      </c>
      <c r="E892">
        <v>2</v>
      </c>
      <c r="F892" t="s">
        <v>19</v>
      </c>
      <c r="G892" t="s">
        <v>20</v>
      </c>
      <c r="H892" t="s">
        <v>15</v>
      </c>
      <c r="I892">
        <v>1</v>
      </c>
      <c r="J892" t="s">
        <v>16</v>
      </c>
      <c r="K892" t="s">
        <v>32</v>
      </c>
      <c r="L892">
        <v>48</v>
      </c>
      <c r="M892" t="str">
        <f t="shared" si="13"/>
        <v>Old</v>
      </c>
      <c r="N892" t="s">
        <v>18</v>
      </c>
    </row>
    <row r="893" spans="1:14" x14ac:dyDescent="0.3">
      <c r="A893">
        <v>13415</v>
      </c>
      <c r="B893" t="s">
        <v>38</v>
      </c>
      <c r="C893" t="s">
        <v>40</v>
      </c>
      <c r="D893">
        <v>100000</v>
      </c>
      <c r="E893">
        <v>1</v>
      </c>
      <c r="F893" t="s">
        <v>31</v>
      </c>
      <c r="G893" t="s">
        <v>28</v>
      </c>
      <c r="H893" t="s">
        <v>15</v>
      </c>
      <c r="I893">
        <v>3</v>
      </c>
      <c r="J893" t="s">
        <v>22</v>
      </c>
      <c r="K893" t="s">
        <v>32</v>
      </c>
      <c r="L893">
        <v>73</v>
      </c>
      <c r="M893" t="str">
        <f t="shared" si="13"/>
        <v>Middle Age</v>
      </c>
      <c r="N893" t="s">
        <v>15</v>
      </c>
    </row>
    <row r="894" spans="1:14" x14ac:dyDescent="0.3">
      <c r="A894">
        <v>17000</v>
      </c>
      <c r="B894" t="s">
        <v>38</v>
      </c>
      <c r="C894" t="s">
        <v>39</v>
      </c>
      <c r="D89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40</v>
      </c>
      <c r="D89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40</v>
      </c>
      <c r="D896">
        <v>70000</v>
      </c>
      <c r="E896">
        <v>3</v>
      </c>
      <c r="F896" t="s">
        <v>31</v>
      </c>
      <c r="G896" t="s">
        <v>21</v>
      </c>
      <c r="H896" t="s">
        <v>15</v>
      </c>
      <c r="I896">
        <v>0</v>
      </c>
      <c r="J896" t="s">
        <v>16</v>
      </c>
      <c r="K896" t="s">
        <v>32</v>
      </c>
      <c r="L896">
        <v>35</v>
      </c>
      <c r="M896" t="str">
        <f t="shared" si="13"/>
        <v>Old</v>
      </c>
      <c r="N896" t="s">
        <v>15</v>
      </c>
    </row>
    <row r="897" spans="1:14" x14ac:dyDescent="0.3">
      <c r="A897">
        <v>20401</v>
      </c>
      <c r="B897" t="s">
        <v>36</v>
      </c>
      <c r="C897" t="s">
        <v>39</v>
      </c>
      <c r="D897">
        <v>50000</v>
      </c>
      <c r="E897">
        <v>4</v>
      </c>
      <c r="F897" t="s">
        <v>13</v>
      </c>
      <c r="G897" t="s">
        <v>28</v>
      </c>
      <c r="H897" t="s">
        <v>15</v>
      </c>
      <c r="I897">
        <v>2</v>
      </c>
      <c r="J897" t="s">
        <v>26</v>
      </c>
      <c r="K897" t="s">
        <v>32</v>
      </c>
      <c r="L897">
        <v>64</v>
      </c>
      <c r="M897" t="str">
        <f t="shared" si="13"/>
        <v>Middle Age</v>
      </c>
      <c r="N897" t="s">
        <v>15</v>
      </c>
    </row>
    <row r="898" spans="1:14" x14ac:dyDescent="0.3">
      <c r="A898">
        <v>21583</v>
      </c>
      <c r="B898" t="s">
        <v>36</v>
      </c>
      <c r="C898" t="s">
        <v>39</v>
      </c>
      <c r="D898">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40</v>
      </c>
      <c r="D899">
        <v>30000</v>
      </c>
      <c r="E899">
        <v>0</v>
      </c>
      <c r="F899" t="s">
        <v>29</v>
      </c>
      <c r="G899" t="s">
        <v>20</v>
      </c>
      <c r="H899" t="s">
        <v>18</v>
      </c>
      <c r="I899">
        <v>2</v>
      </c>
      <c r="J899" t="s">
        <v>16</v>
      </c>
      <c r="K899" t="s">
        <v>32</v>
      </c>
      <c r="L899">
        <v>28</v>
      </c>
      <c r="M899" t="str">
        <f t="shared" ref="M899:M962" si="14">IF(L912&gt;54, "Old", IF(L912&gt;=31, "Middle Age", IF(L912&lt;31, "Adolescent", "Invalid")))</f>
        <v>Middle Age</v>
      </c>
      <c r="N899" t="s">
        <v>18</v>
      </c>
    </row>
    <row r="900" spans="1:14" x14ac:dyDescent="0.3">
      <c r="A900">
        <v>18066</v>
      </c>
      <c r="B900" t="s">
        <v>38</v>
      </c>
      <c r="C900" t="s">
        <v>40</v>
      </c>
      <c r="D900">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40</v>
      </c>
      <c r="D902">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40</v>
      </c>
      <c r="D904">
        <v>80000</v>
      </c>
      <c r="E904">
        <v>3</v>
      </c>
      <c r="F904" t="s">
        <v>13</v>
      </c>
      <c r="G904" t="s">
        <v>14</v>
      </c>
      <c r="H904" t="s">
        <v>15</v>
      </c>
      <c r="I904">
        <v>0</v>
      </c>
      <c r="J904" t="s">
        <v>22</v>
      </c>
      <c r="K904" t="s">
        <v>32</v>
      </c>
      <c r="L904">
        <v>40</v>
      </c>
      <c r="M904" t="str">
        <f t="shared" si="14"/>
        <v>Old</v>
      </c>
      <c r="N904" t="s">
        <v>18</v>
      </c>
    </row>
    <row r="905" spans="1:14" x14ac:dyDescent="0.3">
      <c r="A905">
        <v>14432</v>
      </c>
      <c r="B905" t="s">
        <v>38</v>
      </c>
      <c r="C905" t="s">
        <v>40</v>
      </c>
      <c r="D905">
        <v>90000</v>
      </c>
      <c r="E905">
        <v>4</v>
      </c>
      <c r="F905" t="s">
        <v>31</v>
      </c>
      <c r="G905" t="s">
        <v>28</v>
      </c>
      <c r="H905" t="s">
        <v>15</v>
      </c>
      <c r="I905">
        <v>1</v>
      </c>
      <c r="J905" t="s">
        <v>23</v>
      </c>
      <c r="K905" t="s">
        <v>32</v>
      </c>
      <c r="L905">
        <v>73</v>
      </c>
      <c r="M905" t="str">
        <f t="shared" si="14"/>
        <v>Middle Age</v>
      </c>
      <c r="N905" t="s">
        <v>18</v>
      </c>
    </row>
    <row r="906" spans="1:14" x14ac:dyDescent="0.3">
      <c r="A906">
        <v>26305</v>
      </c>
      <c r="B906" t="s">
        <v>38</v>
      </c>
      <c r="C906" t="s">
        <v>39</v>
      </c>
      <c r="D906">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40</v>
      </c>
      <c r="D907">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40</v>
      </c>
      <c r="D908">
        <v>60000</v>
      </c>
      <c r="E908">
        <v>1</v>
      </c>
      <c r="F908" t="s">
        <v>31</v>
      </c>
      <c r="G908" t="s">
        <v>21</v>
      </c>
      <c r="H908" t="s">
        <v>15</v>
      </c>
      <c r="I908">
        <v>0</v>
      </c>
      <c r="J908" t="s">
        <v>22</v>
      </c>
      <c r="K908" t="s">
        <v>32</v>
      </c>
      <c r="L908">
        <v>34</v>
      </c>
      <c r="M908" t="str">
        <f t="shared" si="14"/>
        <v>Old</v>
      </c>
      <c r="N908" t="s">
        <v>15</v>
      </c>
    </row>
    <row r="909" spans="1:14" x14ac:dyDescent="0.3">
      <c r="A909">
        <v>19747</v>
      </c>
      <c r="B909" t="s">
        <v>36</v>
      </c>
      <c r="C909" t="s">
        <v>40</v>
      </c>
      <c r="D909">
        <v>50000</v>
      </c>
      <c r="E909">
        <v>4</v>
      </c>
      <c r="F909" t="s">
        <v>13</v>
      </c>
      <c r="G909" t="s">
        <v>28</v>
      </c>
      <c r="H909" t="s">
        <v>15</v>
      </c>
      <c r="I909">
        <v>2</v>
      </c>
      <c r="J909" t="s">
        <v>47</v>
      </c>
      <c r="K909" t="s">
        <v>32</v>
      </c>
      <c r="L909">
        <v>63</v>
      </c>
      <c r="M909" t="str">
        <f t="shared" si="14"/>
        <v>Middle Age</v>
      </c>
      <c r="N909" t="s">
        <v>18</v>
      </c>
    </row>
    <row r="910" spans="1:14" x14ac:dyDescent="0.3">
      <c r="A910">
        <v>23195</v>
      </c>
      <c r="B910" t="s">
        <v>38</v>
      </c>
      <c r="C910" t="s">
        <v>40</v>
      </c>
      <c r="D910">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40</v>
      </c>
      <c r="D91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40</v>
      </c>
      <c r="D912">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v>80000</v>
      </c>
      <c r="E913">
        <v>5</v>
      </c>
      <c r="F913" t="s">
        <v>13</v>
      </c>
      <c r="G913" t="s">
        <v>28</v>
      </c>
      <c r="H913" t="s">
        <v>15</v>
      </c>
      <c r="I913">
        <v>2</v>
      </c>
      <c r="J913" t="s">
        <v>23</v>
      </c>
      <c r="K913" t="s">
        <v>32</v>
      </c>
      <c r="L913">
        <v>64</v>
      </c>
      <c r="M913" t="str">
        <f t="shared" si="14"/>
        <v>Middle Age</v>
      </c>
      <c r="N913" t="s">
        <v>18</v>
      </c>
    </row>
    <row r="914" spans="1:14" x14ac:dyDescent="0.3">
      <c r="A914">
        <v>27190</v>
      </c>
      <c r="B914" t="s">
        <v>36</v>
      </c>
      <c r="C914" t="s">
        <v>39</v>
      </c>
      <c r="D914">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40</v>
      </c>
      <c r="D915">
        <v>60000</v>
      </c>
      <c r="E915">
        <v>2</v>
      </c>
      <c r="F915" t="s">
        <v>13</v>
      </c>
      <c r="G915" t="s">
        <v>14</v>
      </c>
      <c r="H915" t="s">
        <v>15</v>
      </c>
      <c r="I915">
        <v>0</v>
      </c>
      <c r="J915" t="s">
        <v>22</v>
      </c>
      <c r="K915" t="s">
        <v>32</v>
      </c>
      <c r="L915">
        <v>36</v>
      </c>
      <c r="M915" t="str">
        <f t="shared" si="14"/>
        <v>Old</v>
      </c>
      <c r="N915" t="s">
        <v>15</v>
      </c>
    </row>
    <row r="916" spans="1:14" x14ac:dyDescent="0.3">
      <c r="A916">
        <v>21713</v>
      </c>
      <c r="B916" t="s">
        <v>38</v>
      </c>
      <c r="C916" t="s">
        <v>40</v>
      </c>
      <c r="D916">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40</v>
      </c>
      <c r="D917">
        <v>60000</v>
      </c>
      <c r="E917">
        <v>3</v>
      </c>
      <c r="F917" t="s">
        <v>31</v>
      </c>
      <c r="G917" t="s">
        <v>28</v>
      </c>
      <c r="H917" t="s">
        <v>15</v>
      </c>
      <c r="I917">
        <v>2</v>
      </c>
      <c r="J917" t="s">
        <v>47</v>
      </c>
      <c r="K917" t="s">
        <v>32</v>
      </c>
      <c r="L917">
        <v>64</v>
      </c>
      <c r="M917" t="str">
        <f t="shared" si="14"/>
        <v>Middle Age</v>
      </c>
      <c r="N917" t="s">
        <v>18</v>
      </c>
    </row>
    <row r="918" spans="1:14" x14ac:dyDescent="0.3">
      <c r="A918">
        <v>27273</v>
      </c>
      <c r="B918" t="s">
        <v>38</v>
      </c>
      <c r="C918" t="s">
        <v>40</v>
      </c>
      <c r="D918">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40</v>
      </c>
      <c r="D919">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v>40000</v>
      </c>
      <c r="E921">
        <v>4</v>
      </c>
      <c r="F921" t="s">
        <v>27</v>
      </c>
      <c r="G921" t="s">
        <v>21</v>
      </c>
      <c r="H921" t="s">
        <v>15</v>
      </c>
      <c r="I921">
        <v>2</v>
      </c>
      <c r="J921" t="s">
        <v>47</v>
      </c>
      <c r="K921" t="s">
        <v>32</v>
      </c>
      <c r="L921">
        <v>61</v>
      </c>
      <c r="M921" t="str">
        <f t="shared" si="14"/>
        <v>Adolescent</v>
      </c>
      <c r="N921" t="s">
        <v>18</v>
      </c>
    </row>
    <row r="922" spans="1:14" x14ac:dyDescent="0.3">
      <c r="A922">
        <v>20754</v>
      </c>
      <c r="B922" t="s">
        <v>36</v>
      </c>
      <c r="C922" t="s">
        <v>40</v>
      </c>
      <c r="D922">
        <v>30000</v>
      </c>
      <c r="E922">
        <v>2</v>
      </c>
      <c r="F922" t="s">
        <v>27</v>
      </c>
      <c r="G922" t="s">
        <v>14</v>
      </c>
      <c r="H922" t="s">
        <v>15</v>
      </c>
      <c r="I922">
        <v>2</v>
      </c>
      <c r="J922" t="s">
        <v>26</v>
      </c>
      <c r="K922" t="s">
        <v>32</v>
      </c>
      <c r="L922">
        <v>51</v>
      </c>
      <c r="M922" t="str">
        <f t="shared" si="14"/>
        <v>Adolescent</v>
      </c>
      <c r="N922" t="s">
        <v>18</v>
      </c>
    </row>
    <row r="923" spans="1:14" x14ac:dyDescent="0.3">
      <c r="A923">
        <v>12153</v>
      </c>
      <c r="B923" t="s">
        <v>38</v>
      </c>
      <c r="C923" t="s">
        <v>39</v>
      </c>
      <c r="D923">
        <v>70000</v>
      </c>
      <c r="E923">
        <v>3</v>
      </c>
      <c r="F923" t="s">
        <v>19</v>
      </c>
      <c r="G923" t="s">
        <v>21</v>
      </c>
      <c r="H923" t="s">
        <v>15</v>
      </c>
      <c r="I923">
        <v>1</v>
      </c>
      <c r="J923" t="s">
        <v>23</v>
      </c>
      <c r="K923" t="s">
        <v>32</v>
      </c>
      <c r="L923">
        <v>49</v>
      </c>
      <c r="M923" t="str">
        <f t="shared" si="14"/>
        <v>Old</v>
      </c>
      <c r="N923" t="s">
        <v>15</v>
      </c>
    </row>
    <row r="924" spans="1:14" x14ac:dyDescent="0.3">
      <c r="A924">
        <v>16895</v>
      </c>
      <c r="B924" t="s">
        <v>36</v>
      </c>
      <c r="C924" t="s">
        <v>39</v>
      </c>
      <c r="D924">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40</v>
      </c>
      <c r="D925">
        <v>70000</v>
      </c>
      <c r="E925">
        <v>3</v>
      </c>
      <c r="F925" t="s">
        <v>31</v>
      </c>
      <c r="G925" t="s">
        <v>28</v>
      </c>
      <c r="H925" t="s">
        <v>18</v>
      </c>
      <c r="I925">
        <v>2</v>
      </c>
      <c r="J925" t="s">
        <v>26</v>
      </c>
      <c r="K925" t="s">
        <v>32</v>
      </c>
      <c r="L925">
        <v>53</v>
      </c>
      <c r="M925" t="str">
        <f t="shared" si="14"/>
        <v>Old</v>
      </c>
      <c r="N925" t="s">
        <v>15</v>
      </c>
    </row>
    <row r="926" spans="1:14" x14ac:dyDescent="0.3">
      <c r="A926">
        <v>11090</v>
      </c>
      <c r="B926" t="s">
        <v>38</v>
      </c>
      <c r="C926" t="s">
        <v>40</v>
      </c>
      <c r="D926">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v>50000</v>
      </c>
      <c r="E927">
        <v>0</v>
      </c>
      <c r="F927" t="s">
        <v>31</v>
      </c>
      <c r="G927" t="s">
        <v>14</v>
      </c>
      <c r="H927" t="s">
        <v>15</v>
      </c>
      <c r="I927">
        <v>0</v>
      </c>
      <c r="J927" t="s">
        <v>26</v>
      </c>
      <c r="K927" t="s">
        <v>32</v>
      </c>
      <c r="L927">
        <v>33</v>
      </c>
      <c r="M927" t="str">
        <f t="shared" si="14"/>
        <v>Adolescent</v>
      </c>
      <c r="N927" t="s">
        <v>15</v>
      </c>
    </row>
    <row r="928" spans="1:14" x14ac:dyDescent="0.3">
      <c r="A928">
        <v>26495</v>
      </c>
      <c r="B928" t="s">
        <v>38</v>
      </c>
      <c r="C928" t="s">
        <v>39</v>
      </c>
      <c r="D928">
        <v>40000</v>
      </c>
      <c r="E928">
        <v>2</v>
      </c>
      <c r="F928" t="s">
        <v>27</v>
      </c>
      <c r="G928" t="s">
        <v>21</v>
      </c>
      <c r="H928" t="s">
        <v>15</v>
      </c>
      <c r="I928">
        <v>2</v>
      </c>
      <c r="J928" t="s">
        <v>47</v>
      </c>
      <c r="K928" t="s">
        <v>32</v>
      </c>
      <c r="L928">
        <v>57</v>
      </c>
      <c r="M928" t="str">
        <f t="shared" si="14"/>
        <v>Middle Age</v>
      </c>
      <c r="N928" t="s">
        <v>18</v>
      </c>
    </row>
    <row r="929" spans="1:14" x14ac:dyDescent="0.3">
      <c r="A929">
        <v>11823</v>
      </c>
      <c r="B929" t="s">
        <v>36</v>
      </c>
      <c r="C929" t="s">
        <v>39</v>
      </c>
      <c r="D929">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40</v>
      </c>
      <c r="D930">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40</v>
      </c>
      <c r="D93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40</v>
      </c>
      <c r="D932">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v>40000</v>
      </c>
      <c r="E934">
        <v>0</v>
      </c>
      <c r="F934" t="s">
        <v>27</v>
      </c>
      <c r="G934" t="s">
        <v>14</v>
      </c>
      <c r="H934" t="s">
        <v>18</v>
      </c>
      <c r="I934">
        <v>2</v>
      </c>
      <c r="J934" t="s">
        <v>16</v>
      </c>
      <c r="K934" t="s">
        <v>32</v>
      </c>
      <c r="L934">
        <v>27</v>
      </c>
      <c r="M934" t="str">
        <f t="shared" si="14"/>
        <v>Middle Age</v>
      </c>
      <c r="N934" t="s">
        <v>15</v>
      </c>
    </row>
    <row r="935" spans="1:14" x14ac:dyDescent="0.3">
      <c r="A935">
        <v>11941</v>
      </c>
      <c r="B935" t="s">
        <v>38</v>
      </c>
      <c r="C935" t="s">
        <v>40</v>
      </c>
      <c r="D935">
        <v>60000</v>
      </c>
      <c r="E935">
        <v>0</v>
      </c>
      <c r="F935" t="s">
        <v>19</v>
      </c>
      <c r="G935" t="s">
        <v>14</v>
      </c>
      <c r="H935" t="s">
        <v>15</v>
      </c>
      <c r="I935">
        <v>0</v>
      </c>
      <c r="J935" t="s">
        <v>23</v>
      </c>
      <c r="K935" t="s">
        <v>32</v>
      </c>
      <c r="L935">
        <v>29</v>
      </c>
      <c r="M935" t="str">
        <f t="shared" si="14"/>
        <v>Old</v>
      </c>
      <c r="N935" t="s">
        <v>18</v>
      </c>
    </row>
    <row r="936" spans="1:14" x14ac:dyDescent="0.3">
      <c r="A936">
        <v>14389</v>
      </c>
      <c r="B936" t="s">
        <v>36</v>
      </c>
      <c r="C936" t="s">
        <v>40</v>
      </c>
      <c r="D936">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39</v>
      </c>
      <c r="D937">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v>60000</v>
      </c>
      <c r="E938">
        <v>4</v>
      </c>
      <c r="F938" t="s">
        <v>13</v>
      </c>
      <c r="G938" t="s">
        <v>28</v>
      </c>
      <c r="H938" t="s">
        <v>15</v>
      </c>
      <c r="I938">
        <v>2</v>
      </c>
      <c r="J938" t="s">
        <v>22</v>
      </c>
      <c r="K938" t="s">
        <v>32</v>
      </c>
      <c r="L938">
        <v>60</v>
      </c>
      <c r="M938" t="str">
        <f t="shared" si="14"/>
        <v>Middle Age</v>
      </c>
      <c r="N938" t="s">
        <v>18</v>
      </c>
    </row>
    <row r="939" spans="1:14" x14ac:dyDescent="0.3">
      <c r="A939">
        <v>11663</v>
      </c>
      <c r="B939" t="s">
        <v>36</v>
      </c>
      <c r="C939" t="s">
        <v>40</v>
      </c>
      <c r="D939">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v>40000</v>
      </c>
      <c r="E940">
        <v>0</v>
      </c>
      <c r="F940" t="s">
        <v>27</v>
      </c>
      <c r="G940" t="s">
        <v>14</v>
      </c>
      <c r="H940" t="s">
        <v>15</v>
      </c>
      <c r="I940">
        <v>2</v>
      </c>
      <c r="J940" t="s">
        <v>23</v>
      </c>
      <c r="K940" t="s">
        <v>32</v>
      </c>
      <c r="L940">
        <v>27</v>
      </c>
      <c r="M940" t="str">
        <f t="shared" si="14"/>
        <v>Middle Age</v>
      </c>
      <c r="N940" t="s">
        <v>18</v>
      </c>
    </row>
    <row r="941" spans="1:14" x14ac:dyDescent="0.3">
      <c r="A941">
        <v>23455</v>
      </c>
      <c r="B941" t="s">
        <v>38</v>
      </c>
      <c r="C941" t="s">
        <v>40</v>
      </c>
      <c r="D941">
        <v>80000</v>
      </c>
      <c r="E941">
        <v>2</v>
      </c>
      <c r="F941" t="s">
        <v>29</v>
      </c>
      <c r="G941" t="s">
        <v>14</v>
      </c>
      <c r="H941" t="s">
        <v>18</v>
      </c>
      <c r="I941">
        <v>2</v>
      </c>
      <c r="J941" t="s">
        <v>26</v>
      </c>
      <c r="K941" t="s">
        <v>32</v>
      </c>
      <c r="L941">
        <v>50</v>
      </c>
      <c r="M941" t="str">
        <f t="shared" si="14"/>
        <v>Old</v>
      </c>
      <c r="N941" t="s">
        <v>18</v>
      </c>
    </row>
    <row r="942" spans="1:14" x14ac:dyDescent="0.3">
      <c r="A942">
        <v>15292</v>
      </c>
      <c r="B942" t="s">
        <v>38</v>
      </c>
      <c r="C942" t="s">
        <v>39</v>
      </c>
      <c r="D942">
        <v>60000</v>
      </c>
      <c r="E942">
        <v>1</v>
      </c>
      <c r="F942" t="s">
        <v>31</v>
      </c>
      <c r="G942" t="s">
        <v>14</v>
      </c>
      <c r="H942" t="s">
        <v>15</v>
      </c>
      <c r="I942">
        <v>0</v>
      </c>
      <c r="J942" t="s">
        <v>26</v>
      </c>
      <c r="K942" t="s">
        <v>32</v>
      </c>
      <c r="L942">
        <v>35</v>
      </c>
      <c r="M942" t="str">
        <f t="shared" si="14"/>
        <v>Adolescent</v>
      </c>
      <c r="N942" t="s">
        <v>18</v>
      </c>
    </row>
    <row r="943" spans="1:14" x14ac:dyDescent="0.3">
      <c r="A943">
        <v>21587</v>
      </c>
      <c r="B943" t="s">
        <v>36</v>
      </c>
      <c r="C943" t="s">
        <v>39</v>
      </c>
      <c r="D94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v>50000</v>
      </c>
      <c r="E946">
        <v>1</v>
      </c>
      <c r="F946" t="s">
        <v>13</v>
      </c>
      <c r="G946" t="s">
        <v>14</v>
      </c>
      <c r="H946" t="s">
        <v>15</v>
      </c>
      <c r="I946">
        <v>0</v>
      </c>
      <c r="J946" t="s">
        <v>22</v>
      </c>
      <c r="K946" t="s">
        <v>32</v>
      </c>
      <c r="L946">
        <v>34</v>
      </c>
      <c r="M946" t="str">
        <f t="shared" si="14"/>
        <v>Adolescent</v>
      </c>
      <c r="N946" t="s">
        <v>15</v>
      </c>
    </row>
    <row r="947" spans="1:14" x14ac:dyDescent="0.3">
      <c r="A947">
        <v>25419</v>
      </c>
      <c r="B947" t="s">
        <v>38</v>
      </c>
      <c r="C947" t="s">
        <v>40</v>
      </c>
      <c r="D947">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v>90000</v>
      </c>
      <c r="E948">
        <v>5</v>
      </c>
      <c r="F948" t="s">
        <v>13</v>
      </c>
      <c r="G948" t="s">
        <v>28</v>
      </c>
      <c r="H948" t="s">
        <v>15</v>
      </c>
      <c r="I948">
        <v>2</v>
      </c>
      <c r="J948" t="s">
        <v>26</v>
      </c>
      <c r="K948" t="s">
        <v>32</v>
      </c>
      <c r="L948">
        <v>63</v>
      </c>
      <c r="M948" t="str">
        <f t="shared" si="14"/>
        <v>Middle Age</v>
      </c>
      <c r="N948" t="s">
        <v>15</v>
      </c>
    </row>
    <row r="949" spans="1:14" x14ac:dyDescent="0.3">
      <c r="A949">
        <v>11303</v>
      </c>
      <c r="B949" t="s">
        <v>38</v>
      </c>
      <c r="C949" t="s">
        <v>39</v>
      </c>
      <c r="D949">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v>60000</v>
      </c>
      <c r="E950">
        <v>0</v>
      </c>
      <c r="F950" t="s">
        <v>31</v>
      </c>
      <c r="G950" t="s">
        <v>14</v>
      </c>
      <c r="H950" t="s">
        <v>18</v>
      </c>
      <c r="I950">
        <v>0</v>
      </c>
      <c r="J950" t="s">
        <v>16</v>
      </c>
      <c r="K950" t="s">
        <v>32</v>
      </c>
      <c r="L950">
        <v>40</v>
      </c>
      <c r="M950" t="str">
        <f t="shared" si="14"/>
        <v>Old</v>
      </c>
      <c r="N950" t="s">
        <v>18</v>
      </c>
    </row>
    <row r="951" spans="1:14" x14ac:dyDescent="0.3">
      <c r="A951">
        <v>28056</v>
      </c>
      <c r="B951" t="s">
        <v>36</v>
      </c>
      <c r="C951" t="s">
        <v>40</v>
      </c>
      <c r="D951">
        <v>70000</v>
      </c>
      <c r="E951">
        <v>2</v>
      </c>
      <c r="F951" t="s">
        <v>29</v>
      </c>
      <c r="G951" t="s">
        <v>14</v>
      </c>
      <c r="H951" t="s">
        <v>15</v>
      </c>
      <c r="I951">
        <v>2</v>
      </c>
      <c r="J951" t="s">
        <v>47</v>
      </c>
      <c r="K951" t="s">
        <v>32</v>
      </c>
      <c r="L951">
        <v>53</v>
      </c>
      <c r="M951" t="str">
        <f t="shared" si="14"/>
        <v>Old</v>
      </c>
      <c r="N951" t="s">
        <v>18</v>
      </c>
    </row>
    <row r="952" spans="1:14" x14ac:dyDescent="0.3">
      <c r="A952">
        <v>11788</v>
      </c>
      <c r="B952" t="s">
        <v>38</v>
      </c>
      <c r="C952" t="s">
        <v>39</v>
      </c>
      <c r="D952">
        <v>70000</v>
      </c>
      <c r="E952">
        <v>1</v>
      </c>
      <c r="F952" t="s">
        <v>31</v>
      </c>
      <c r="G952" t="s">
        <v>21</v>
      </c>
      <c r="H952" t="s">
        <v>15</v>
      </c>
      <c r="I952">
        <v>0</v>
      </c>
      <c r="J952" t="s">
        <v>22</v>
      </c>
      <c r="K952" t="s">
        <v>32</v>
      </c>
      <c r="L952">
        <v>34</v>
      </c>
      <c r="M952" t="str">
        <f t="shared" si="14"/>
        <v>Old</v>
      </c>
      <c r="N952" t="s">
        <v>18</v>
      </c>
    </row>
    <row r="953" spans="1:14" x14ac:dyDescent="0.3">
      <c r="A953">
        <v>22296</v>
      </c>
      <c r="B953" t="s">
        <v>36</v>
      </c>
      <c r="C953" t="s">
        <v>40</v>
      </c>
      <c r="D953">
        <v>70000</v>
      </c>
      <c r="E953">
        <v>0</v>
      </c>
      <c r="F953" t="s">
        <v>13</v>
      </c>
      <c r="G953" t="s">
        <v>21</v>
      </c>
      <c r="H953" t="s">
        <v>18</v>
      </c>
      <c r="I953">
        <v>1</v>
      </c>
      <c r="J953" t="s">
        <v>16</v>
      </c>
      <c r="K953" t="s">
        <v>32</v>
      </c>
      <c r="L953">
        <v>38</v>
      </c>
      <c r="M953" t="str">
        <f t="shared" si="14"/>
        <v>Old</v>
      </c>
      <c r="N953" t="s">
        <v>18</v>
      </c>
    </row>
    <row r="954" spans="1:14" x14ac:dyDescent="0.3">
      <c r="A954">
        <v>15319</v>
      </c>
      <c r="B954" t="s">
        <v>36</v>
      </c>
      <c r="C954" t="s">
        <v>39</v>
      </c>
      <c r="D954">
        <v>70000</v>
      </c>
      <c r="E954">
        <v>4</v>
      </c>
      <c r="F954" t="s">
        <v>13</v>
      </c>
      <c r="G954" t="s">
        <v>28</v>
      </c>
      <c r="H954" t="s">
        <v>18</v>
      </c>
      <c r="I954">
        <v>1</v>
      </c>
      <c r="J954" t="s">
        <v>26</v>
      </c>
      <c r="K954" t="s">
        <v>32</v>
      </c>
      <c r="L954">
        <v>59</v>
      </c>
      <c r="M954" t="str">
        <f t="shared" si="14"/>
        <v>Middle Age</v>
      </c>
      <c r="N954" t="s">
        <v>18</v>
      </c>
    </row>
    <row r="955" spans="1:14" x14ac:dyDescent="0.3">
      <c r="A955">
        <v>17654</v>
      </c>
      <c r="B955" t="s">
        <v>38</v>
      </c>
      <c r="C955" t="s">
        <v>39</v>
      </c>
      <c r="D955">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40</v>
      </c>
      <c r="D956">
        <v>60000</v>
      </c>
      <c r="E956">
        <v>1</v>
      </c>
      <c r="F956" t="s">
        <v>13</v>
      </c>
      <c r="G956" t="s">
        <v>21</v>
      </c>
      <c r="H956" t="s">
        <v>15</v>
      </c>
      <c r="I956">
        <v>1</v>
      </c>
      <c r="J956" t="s">
        <v>16</v>
      </c>
      <c r="K956" t="s">
        <v>32</v>
      </c>
      <c r="L956">
        <v>48</v>
      </c>
      <c r="M956" t="str">
        <f t="shared" si="14"/>
        <v>Old</v>
      </c>
      <c r="N956" t="s">
        <v>15</v>
      </c>
    </row>
    <row r="957" spans="1:14" x14ac:dyDescent="0.3">
      <c r="A957">
        <v>17541</v>
      </c>
      <c r="B957" t="s">
        <v>36</v>
      </c>
      <c r="C957" t="s">
        <v>39</v>
      </c>
      <c r="D957">
        <v>40000</v>
      </c>
      <c r="E957">
        <v>4</v>
      </c>
      <c r="F957" t="s">
        <v>27</v>
      </c>
      <c r="G957" t="s">
        <v>14</v>
      </c>
      <c r="H957" t="s">
        <v>15</v>
      </c>
      <c r="I957">
        <v>2</v>
      </c>
      <c r="J957" t="s">
        <v>22</v>
      </c>
      <c r="K957" t="s">
        <v>32</v>
      </c>
      <c r="L957">
        <v>43</v>
      </c>
      <c r="M957" t="str">
        <f t="shared" si="14"/>
        <v>Adolescent</v>
      </c>
      <c r="N957" t="s">
        <v>18</v>
      </c>
    </row>
    <row r="958" spans="1:14" x14ac:dyDescent="0.3">
      <c r="A958">
        <v>13886</v>
      </c>
      <c r="B958" t="s">
        <v>36</v>
      </c>
      <c r="C958" t="s">
        <v>39</v>
      </c>
      <c r="D958">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40</v>
      </c>
      <c r="D960">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40</v>
      </c>
      <c r="D961">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40</v>
      </c>
      <c r="D962">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v>120000</v>
      </c>
      <c r="E963">
        <v>2</v>
      </c>
      <c r="F963" t="s">
        <v>13</v>
      </c>
      <c r="G963" t="s">
        <v>28</v>
      </c>
      <c r="H963" t="s">
        <v>15</v>
      </c>
      <c r="I963">
        <v>3</v>
      </c>
      <c r="J963" t="s">
        <v>23</v>
      </c>
      <c r="K963" t="s">
        <v>32</v>
      </c>
      <c r="L963">
        <v>62</v>
      </c>
      <c r="M963" t="str">
        <f t="shared" ref="M963:M1001" si="15">IF(L976&gt;54, "Old", IF(L976&gt;=31, "Middle Age", IF(L976&lt;31, "Adolescent", "Invalid")))</f>
        <v>Middle Age</v>
      </c>
      <c r="N963" t="s">
        <v>18</v>
      </c>
    </row>
    <row r="964" spans="1:14" x14ac:dyDescent="0.3">
      <c r="A964">
        <v>16813</v>
      </c>
      <c r="B964" t="s">
        <v>36</v>
      </c>
      <c r="C964" t="s">
        <v>40</v>
      </c>
      <c r="D964">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39</v>
      </c>
      <c r="D965">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40</v>
      </c>
      <c r="D966">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39</v>
      </c>
      <c r="D967">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40</v>
      </c>
      <c r="D969">
        <v>80000</v>
      </c>
      <c r="E969">
        <v>3</v>
      </c>
      <c r="F969" t="s">
        <v>13</v>
      </c>
      <c r="G969" t="s">
        <v>28</v>
      </c>
      <c r="H969" t="s">
        <v>15</v>
      </c>
      <c r="I969">
        <v>1</v>
      </c>
      <c r="J969" t="s">
        <v>26</v>
      </c>
      <c r="K969" t="s">
        <v>32</v>
      </c>
      <c r="L969">
        <v>56</v>
      </c>
      <c r="M969" t="str">
        <f t="shared" si="15"/>
        <v>Middle Age</v>
      </c>
      <c r="N969" t="s">
        <v>18</v>
      </c>
    </row>
    <row r="970" spans="1:14" x14ac:dyDescent="0.3">
      <c r="A970">
        <v>18329</v>
      </c>
      <c r="B970" t="s">
        <v>38</v>
      </c>
      <c r="C970" t="s">
        <v>40</v>
      </c>
      <c r="D970">
        <v>30000</v>
      </c>
      <c r="E970">
        <v>0</v>
      </c>
      <c r="F970" t="s">
        <v>29</v>
      </c>
      <c r="G970" t="s">
        <v>20</v>
      </c>
      <c r="H970" t="s">
        <v>18</v>
      </c>
      <c r="I970">
        <v>2</v>
      </c>
      <c r="J970" t="s">
        <v>23</v>
      </c>
      <c r="K970" t="s">
        <v>32</v>
      </c>
      <c r="L970">
        <v>27</v>
      </c>
      <c r="M970" t="str">
        <f t="shared" si="15"/>
        <v>Middle Age</v>
      </c>
      <c r="N970" t="s">
        <v>18</v>
      </c>
    </row>
    <row r="971" spans="1:14" x14ac:dyDescent="0.3">
      <c r="A971">
        <v>29037</v>
      </c>
      <c r="B971" t="s">
        <v>36</v>
      </c>
      <c r="C971" t="s">
        <v>40</v>
      </c>
      <c r="D97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40</v>
      </c>
      <c r="D975">
        <v>60000</v>
      </c>
      <c r="E975">
        <v>1</v>
      </c>
      <c r="F975" t="s">
        <v>19</v>
      </c>
      <c r="G975" t="s">
        <v>14</v>
      </c>
      <c r="H975" t="s">
        <v>18</v>
      </c>
      <c r="I975">
        <v>1</v>
      </c>
      <c r="J975" t="s">
        <v>16</v>
      </c>
      <c r="K975" t="s">
        <v>32</v>
      </c>
      <c r="L975">
        <v>47</v>
      </c>
      <c r="M975" t="str">
        <f t="shared" si="15"/>
        <v>Old</v>
      </c>
      <c r="N975" t="s">
        <v>18</v>
      </c>
    </row>
    <row r="976" spans="1:14" x14ac:dyDescent="0.3">
      <c r="A976">
        <v>17462</v>
      </c>
      <c r="B976" t="s">
        <v>36</v>
      </c>
      <c r="C976" t="s">
        <v>40</v>
      </c>
      <c r="D976">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40</v>
      </c>
      <c r="D977">
        <v>70000</v>
      </c>
      <c r="E977">
        <v>3</v>
      </c>
      <c r="F977" t="s">
        <v>31</v>
      </c>
      <c r="G977" t="s">
        <v>21</v>
      </c>
      <c r="H977" t="s">
        <v>15</v>
      </c>
      <c r="I977">
        <v>0</v>
      </c>
      <c r="J977" t="s">
        <v>16</v>
      </c>
      <c r="K977" t="s">
        <v>32</v>
      </c>
      <c r="L977">
        <v>35</v>
      </c>
      <c r="M977" t="str">
        <f t="shared" si="15"/>
        <v>Old</v>
      </c>
      <c r="N977" t="s">
        <v>15</v>
      </c>
    </row>
    <row r="978" spans="1:14" x14ac:dyDescent="0.3">
      <c r="A978">
        <v>28004</v>
      </c>
      <c r="B978" t="s">
        <v>36</v>
      </c>
      <c r="C978" t="s">
        <v>39</v>
      </c>
      <c r="D978">
        <v>60000</v>
      </c>
      <c r="E978">
        <v>3</v>
      </c>
      <c r="F978" t="s">
        <v>13</v>
      </c>
      <c r="G978" t="s">
        <v>28</v>
      </c>
      <c r="H978" t="s">
        <v>15</v>
      </c>
      <c r="I978">
        <v>2</v>
      </c>
      <c r="J978" t="s">
        <v>47</v>
      </c>
      <c r="K978" t="s">
        <v>32</v>
      </c>
      <c r="L978">
        <v>66</v>
      </c>
      <c r="M978" t="str">
        <f t="shared" si="15"/>
        <v>Middle Age</v>
      </c>
      <c r="N978" t="s">
        <v>18</v>
      </c>
    </row>
    <row r="979" spans="1:14" x14ac:dyDescent="0.3">
      <c r="A979">
        <v>19741</v>
      </c>
      <c r="B979" t="s">
        <v>38</v>
      </c>
      <c r="C979" t="s">
        <v>39</v>
      </c>
      <c r="D979">
        <v>80000</v>
      </c>
      <c r="E979">
        <v>4</v>
      </c>
      <c r="F979" t="s">
        <v>31</v>
      </c>
      <c r="G979" t="s">
        <v>28</v>
      </c>
      <c r="H979" t="s">
        <v>15</v>
      </c>
      <c r="I979">
        <v>2</v>
      </c>
      <c r="J979" t="s">
        <v>23</v>
      </c>
      <c r="K979" t="s">
        <v>32</v>
      </c>
      <c r="L979">
        <v>65</v>
      </c>
      <c r="M979" t="str">
        <f t="shared" si="15"/>
        <v>Adolescent</v>
      </c>
      <c r="N979" t="s">
        <v>18</v>
      </c>
    </row>
    <row r="980" spans="1:14" x14ac:dyDescent="0.3">
      <c r="A980">
        <v>17450</v>
      </c>
      <c r="B980" t="s">
        <v>36</v>
      </c>
      <c r="C980" t="s">
        <v>40</v>
      </c>
      <c r="D980">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40</v>
      </c>
      <c r="D981">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40</v>
      </c>
      <c r="D98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40</v>
      </c>
      <c r="D98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40</v>
      </c>
      <c r="D98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40</v>
      </c>
      <c r="D986">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40</v>
      </c>
      <c r="D988">
        <v>40000</v>
      </c>
      <c r="E988">
        <v>5</v>
      </c>
      <c r="F988" t="s">
        <v>27</v>
      </c>
      <c r="G988" t="s">
        <v>21</v>
      </c>
      <c r="H988" t="s">
        <v>15</v>
      </c>
      <c r="I988">
        <v>4</v>
      </c>
      <c r="J988" t="s">
        <v>47</v>
      </c>
      <c r="K988" t="s">
        <v>32</v>
      </c>
      <c r="L988">
        <v>60</v>
      </c>
      <c r="M988" t="str">
        <f t="shared" si="15"/>
        <v>Middle Age</v>
      </c>
      <c r="N988" t="s">
        <v>15</v>
      </c>
    </row>
    <row r="989" spans="1:14" x14ac:dyDescent="0.3">
      <c r="A989">
        <v>28972</v>
      </c>
      <c r="B989" t="s">
        <v>38</v>
      </c>
      <c r="C989" t="s">
        <v>39</v>
      </c>
      <c r="D989">
        <v>60000</v>
      </c>
      <c r="E989">
        <v>3</v>
      </c>
      <c r="F989" t="s">
        <v>31</v>
      </c>
      <c r="G989" t="s">
        <v>28</v>
      </c>
      <c r="H989" t="s">
        <v>15</v>
      </c>
      <c r="I989">
        <v>2</v>
      </c>
      <c r="J989" t="s">
        <v>47</v>
      </c>
      <c r="K989" t="s">
        <v>32</v>
      </c>
      <c r="L989">
        <v>66</v>
      </c>
      <c r="M989" t="str">
        <f t="shared" si="15"/>
        <v>Adolescent</v>
      </c>
      <c r="N989" t="s">
        <v>18</v>
      </c>
    </row>
    <row r="990" spans="1:14" x14ac:dyDescent="0.3">
      <c r="A990">
        <v>22730</v>
      </c>
      <c r="B990" t="s">
        <v>36</v>
      </c>
      <c r="C990" t="s">
        <v>40</v>
      </c>
      <c r="D990">
        <v>70000</v>
      </c>
      <c r="E990">
        <v>5</v>
      </c>
      <c r="F990" t="s">
        <v>13</v>
      </c>
      <c r="G990" t="s">
        <v>28</v>
      </c>
      <c r="H990" t="s">
        <v>15</v>
      </c>
      <c r="I990">
        <v>2</v>
      </c>
      <c r="J990" t="s">
        <v>47</v>
      </c>
      <c r="K990" t="s">
        <v>32</v>
      </c>
      <c r="L990">
        <v>63</v>
      </c>
      <c r="M990" t="str">
        <f t="shared" si="15"/>
        <v>Adolescent</v>
      </c>
      <c r="N990" t="s">
        <v>18</v>
      </c>
    </row>
    <row r="991" spans="1:14" x14ac:dyDescent="0.3">
      <c r="A991">
        <v>29134</v>
      </c>
      <c r="B991" t="s">
        <v>36</v>
      </c>
      <c r="C991" t="s">
        <v>40</v>
      </c>
      <c r="D991">
        <v>60000</v>
      </c>
      <c r="E991">
        <v>4</v>
      </c>
      <c r="F991" t="s">
        <v>13</v>
      </c>
      <c r="G991" t="s">
        <v>14</v>
      </c>
      <c r="H991" t="s">
        <v>18</v>
      </c>
      <c r="I991">
        <v>3</v>
      </c>
      <c r="J991" t="s">
        <v>47</v>
      </c>
      <c r="K991" t="s">
        <v>32</v>
      </c>
      <c r="L991">
        <v>42</v>
      </c>
      <c r="M991" t="str">
        <f t="shared" si="15"/>
        <v>Adolescent</v>
      </c>
      <c r="N991" t="s">
        <v>18</v>
      </c>
    </row>
    <row r="992" spans="1:14" x14ac:dyDescent="0.3">
      <c r="A992">
        <v>14332</v>
      </c>
      <c r="B992" t="s">
        <v>38</v>
      </c>
      <c r="C992" t="s">
        <v>39</v>
      </c>
      <c r="D992">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39</v>
      </c>
      <c r="D993">
        <v>60000</v>
      </c>
      <c r="E993">
        <v>1</v>
      </c>
      <c r="F993" t="s">
        <v>31</v>
      </c>
      <c r="G993" t="s">
        <v>21</v>
      </c>
      <c r="H993" t="s">
        <v>15</v>
      </c>
      <c r="I993">
        <v>0</v>
      </c>
      <c r="J993" t="s">
        <v>22</v>
      </c>
      <c r="K993" t="s">
        <v>32</v>
      </c>
      <c r="L993">
        <v>36</v>
      </c>
      <c r="M993" t="str">
        <f t="shared" si="15"/>
        <v>Adolescent</v>
      </c>
      <c r="N993" t="s">
        <v>15</v>
      </c>
    </row>
    <row r="994" spans="1:14" x14ac:dyDescent="0.3">
      <c r="A994">
        <v>22864</v>
      </c>
      <c r="B994" t="s">
        <v>36</v>
      </c>
      <c r="C994" t="s">
        <v>40</v>
      </c>
      <c r="D994">
        <v>90000</v>
      </c>
      <c r="E994">
        <v>2</v>
      </c>
      <c r="F994" t="s">
        <v>19</v>
      </c>
      <c r="G994" t="s">
        <v>21</v>
      </c>
      <c r="H994" t="s">
        <v>18</v>
      </c>
      <c r="I994">
        <v>0</v>
      </c>
      <c r="J994" t="s">
        <v>23</v>
      </c>
      <c r="K994" t="s">
        <v>32</v>
      </c>
      <c r="L994">
        <v>49</v>
      </c>
      <c r="M994" t="str">
        <f t="shared" si="15"/>
        <v>Adolescent</v>
      </c>
      <c r="N994" t="s">
        <v>15</v>
      </c>
    </row>
    <row r="995" spans="1:14" x14ac:dyDescent="0.3">
      <c r="A995">
        <v>11292</v>
      </c>
      <c r="B995" t="s">
        <v>38</v>
      </c>
      <c r="C995" t="s">
        <v>40</v>
      </c>
      <c r="D995">
        <v>150000</v>
      </c>
      <c r="E995">
        <v>1</v>
      </c>
      <c r="F995" t="s">
        <v>19</v>
      </c>
      <c r="G995" t="s">
        <v>21</v>
      </c>
      <c r="H995" t="s">
        <v>18</v>
      </c>
      <c r="I995">
        <v>3</v>
      </c>
      <c r="J995" t="s">
        <v>16</v>
      </c>
      <c r="K995" t="s">
        <v>32</v>
      </c>
      <c r="L995">
        <v>44</v>
      </c>
      <c r="M995" t="str">
        <f t="shared" si="15"/>
        <v>Adolescent</v>
      </c>
      <c r="N995" t="s">
        <v>15</v>
      </c>
    </row>
    <row r="996" spans="1:14" x14ac:dyDescent="0.3">
      <c r="A996">
        <v>13466</v>
      </c>
      <c r="B996" t="s">
        <v>36</v>
      </c>
      <c r="C996" t="s">
        <v>40</v>
      </c>
      <c r="D996">
        <v>80000</v>
      </c>
      <c r="E996">
        <v>5</v>
      </c>
      <c r="F996" t="s">
        <v>19</v>
      </c>
      <c r="G996" t="s">
        <v>21</v>
      </c>
      <c r="H996" t="s">
        <v>15</v>
      </c>
      <c r="I996">
        <v>3</v>
      </c>
      <c r="J996" t="s">
        <v>26</v>
      </c>
      <c r="K996" t="s">
        <v>32</v>
      </c>
      <c r="L996">
        <v>46</v>
      </c>
      <c r="M996" t="str">
        <f t="shared" si="15"/>
        <v>Adolescent</v>
      </c>
      <c r="N996" t="s">
        <v>18</v>
      </c>
    </row>
    <row r="997" spans="1:14" x14ac:dyDescent="0.3">
      <c r="A997">
        <v>23731</v>
      </c>
      <c r="B997" t="s">
        <v>36</v>
      </c>
      <c r="C997" t="s">
        <v>40</v>
      </c>
      <c r="D997">
        <v>60000</v>
      </c>
      <c r="E997" s="2">
        <v>2</v>
      </c>
      <c r="F997" t="s">
        <v>27</v>
      </c>
      <c r="G997" t="s">
        <v>21</v>
      </c>
      <c r="H997" t="s">
        <v>15</v>
      </c>
      <c r="I997">
        <v>2</v>
      </c>
      <c r="J997" t="s">
        <v>22</v>
      </c>
      <c r="K997" t="s">
        <v>32</v>
      </c>
      <c r="L997">
        <v>54</v>
      </c>
      <c r="M997" t="str">
        <f t="shared" si="15"/>
        <v>Adolescent</v>
      </c>
      <c r="N997" t="s">
        <v>15</v>
      </c>
    </row>
    <row r="998" spans="1:14" x14ac:dyDescent="0.3">
      <c r="A998">
        <v>28672</v>
      </c>
      <c r="B998" t="s">
        <v>38</v>
      </c>
      <c r="C998" t="s">
        <v>40</v>
      </c>
      <c r="D998">
        <v>70000</v>
      </c>
      <c r="E998">
        <v>4</v>
      </c>
      <c r="F998" t="s">
        <v>31</v>
      </c>
      <c r="G998" t="s">
        <v>21</v>
      </c>
      <c r="H998" t="s">
        <v>15</v>
      </c>
      <c r="I998">
        <v>0</v>
      </c>
      <c r="J998" t="s">
        <v>22</v>
      </c>
      <c r="K998" t="s">
        <v>32</v>
      </c>
      <c r="L998">
        <v>35</v>
      </c>
      <c r="M998" t="str">
        <f t="shared" si="15"/>
        <v>Adolescent</v>
      </c>
      <c r="N998" t="s">
        <v>15</v>
      </c>
    </row>
    <row r="999" spans="1:14" x14ac:dyDescent="0.3">
      <c r="A999">
        <v>11809</v>
      </c>
      <c r="B999" t="s">
        <v>36</v>
      </c>
      <c r="C999" t="s">
        <v>40</v>
      </c>
      <c r="D999">
        <v>60000</v>
      </c>
      <c r="E999">
        <v>2</v>
      </c>
      <c r="F999" t="s">
        <v>13</v>
      </c>
      <c r="G999" t="s">
        <v>14</v>
      </c>
      <c r="H999" t="s">
        <v>15</v>
      </c>
      <c r="I999">
        <v>0</v>
      </c>
      <c r="J999" t="s">
        <v>16</v>
      </c>
      <c r="K999" t="s">
        <v>32</v>
      </c>
      <c r="L999">
        <v>38</v>
      </c>
      <c r="M999" t="str">
        <f t="shared" si="15"/>
        <v>Adolescent</v>
      </c>
      <c r="N999" t="s">
        <v>15</v>
      </c>
    </row>
    <row r="1000" spans="1:14" x14ac:dyDescent="0.3">
      <c r="A1000">
        <v>19664</v>
      </c>
      <c r="B1000" t="s">
        <v>38</v>
      </c>
      <c r="C1000" t="s">
        <v>40</v>
      </c>
      <c r="D1000">
        <v>100000</v>
      </c>
      <c r="E1000">
        <v>3</v>
      </c>
      <c r="F1000" t="s">
        <v>13</v>
      </c>
      <c r="G1000" t="s">
        <v>28</v>
      </c>
      <c r="H1000" t="s">
        <v>18</v>
      </c>
      <c r="I1000">
        <v>3</v>
      </c>
      <c r="J1000" t="s">
        <v>26</v>
      </c>
      <c r="K1000" t="s">
        <v>32</v>
      </c>
      <c r="L1000">
        <v>38</v>
      </c>
      <c r="M1000" t="str">
        <f t="shared" si="15"/>
        <v>Adolescent</v>
      </c>
      <c r="N1000" t="s">
        <v>18</v>
      </c>
    </row>
    <row r="1001" spans="1:14" x14ac:dyDescent="0.3">
      <c r="A1001">
        <v>12121</v>
      </c>
      <c r="B1001" t="s">
        <v>38</v>
      </c>
      <c r="C1001" t="s">
        <v>40</v>
      </c>
      <c r="D1001">
        <v>60000</v>
      </c>
      <c r="E1001">
        <v>3</v>
      </c>
      <c r="F1001" t="s">
        <v>27</v>
      </c>
      <c r="G1001" t="s">
        <v>21</v>
      </c>
      <c r="H1001" t="s">
        <v>15</v>
      </c>
      <c r="I1001">
        <v>2</v>
      </c>
      <c r="J1001" t="s">
        <v>47</v>
      </c>
      <c r="K1001" t="s">
        <v>32</v>
      </c>
      <c r="L1001">
        <v>53</v>
      </c>
      <c r="M1001" t="str">
        <f t="shared" si="15"/>
        <v>Adolescent</v>
      </c>
      <c r="N1001" t="s">
        <v>15</v>
      </c>
    </row>
    <row r="1002" spans="1:14" hidden="1" x14ac:dyDescent="0.3"/>
    <row r="1003" spans="1:14" hidden="1" x14ac:dyDescent="0.3"/>
    <row r="1004" spans="1:14" hidden="1" x14ac:dyDescent="0.3"/>
    <row r="1005" spans="1:14" hidden="1" x14ac:dyDescent="0.3"/>
    <row r="1006" spans="1:14" hidden="1" x14ac:dyDescent="0.3"/>
    <row r="1007" spans="1:14" hidden="1" x14ac:dyDescent="0.3"/>
    <row r="1008" spans="1:14"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CCBC-8F79-44AD-B79B-E612D4A7E0D2}">
  <dimension ref="A1:J33"/>
  <sheetViews>
    <sheetView zoomScale="52" workbookViewId="0">
      <selection activeCell="D43" sqref="D43"/>
    </sheetView>
  </sheetViews>
  <sheetFormatPr defaultRowHeight="14.4" x14ac:dyDescent="0.3"/>
  <cols>
    <col min="1" max="1" width="31.77734375" bestFit="1" customWidth="1"/>
    <col min="2" max="2" width="23.6640625" bestFit="1" customWidth="1"/>
    <col min="3" max="3" width="6.33203125" bestFit="1" customWidth="1"/>
    <col min="4" max="4" width="15.6640625" bestFit="1" customWidth="1"/>
    <col min="7" max="7" width="24.21875" bestFit="1" customWidth="1"/>
    <col min="8" max="8" width="23.6640625" bestFit="1" customWidth="1"/>
    <col min="9" max="9" width="9.33203125" bestFit="1" customWidth="1"/>
    <col min="10" max="10" width="15.6640625" bestFit="1" customWidth="1"/>
  </cols>
  <sheetData>
    <row r="1" spans="1:10" x14ac:dyDescent="0.3">
      <c r="A1" s="3" t="s">
        <v>46</v>
      </c>
      <c r="B1" s="3" t="s">
        <v>45</v>
      </c>
    </row>
    <row r="2" spans="1:10" x14ac:dyDescent="0.3">
      <c r="A2" s="3" t="s">
        <v>42</v>
      </c>
      <c r="B2" t="s">
        <v>18</v>
      </c>
      <c r="C2" t="s">
        <v>15</v>
      </c>
      <c r="D2" t="s">
        <v>43</v>
      </c>
    </row>
    <row r="3" spans="1:10" x14ac:dyDescent="0.3">
      <c r="A3" s="4" t="s">
        <v>16</v>
      </c>
      <c r="B3" s="5">
        <v>33</v>
      </c>
      <c r="C3" s="5">
        <v>50</v>
      </c>
      <c r="D3" s="5">
        <v>83</v>
      </c>
    </row>
    <row r="4" spans="1:10" x14ac:dyDescent="0.3">
      <c r="A4" s="4" t="s">
        <v>22</v>
      </c>
      <c r="B4" s="5">
        <v>17</v>
      </c>
      <c r="C4" s="5">
        <v>11</v>
      </c>
      <c r="D4" s="5">
        <v>28</v>
      </c>
    </row>
    <row r="5" spans="1:10" x14ac:dyDescent="0.3">
      <c r="A5" s="4" t="s">
        <v>47</v>
      </c>
      <c r="B5" s="5">
        <v>21</v>
      </c>
      <c r="C5" s="5">
        <v>3</v>
      </c>
      <c r="D5" s="5">
        <v>24</v>
      </c>
    </row>
    <row r="6" spans="1:10" x14ac:dyDescent="0.3">
      <c r="A6" s="4" t="s">
        <v>26</v>
      </c>
      <c r="B6" s="5">
        <v>10</v>
      </c>
      <c r="C6" s="5">
        <v>11</v>
      </c>
      <c r="D6" s="5">
        <v>21</v>
      </c>
      <c r="G6" s="3" t="s">
        <v>44</v>
      </c>
      <c r="H6" s="3" t="s">
        <v>45</v>
      </c>
    </row>
    <row r="7" spans="1:10" x14ac:dyDescent="0.3">
      <c r="A7" s="4" t="s">
        <v>23</v>
      </c>
      <c r="B7" s="5">
        <v>7</v>
      </c>
      <c r="C7" s="5">
        <v>3</v>
      </c>
      <c r="D7" s="5">
        <v>10</v>
      </c>
      <c r="G7" s="3" t="s">
        <v>42</v>
      </c>
      <c r="H7" t="s">
        <v>18</v>
      </c>
      <c r="I7" t="s">
        <v>15</v>
      </c>
      <c r="J7" t="s">
        <v>43</v>
      </c>
    </row>
    <row r="8" spans="1:10" x14ac:dyDescent="0.3">
      <c r="A8" s="4" t="s">
        <v>43</v>
      </c>
      <c r="B8" s="5">
        <v>88</v>
      </c>
      <c r="C8" s="5">
        <v>78</v>
      </c>
      <c r="D8" s="5">
        <v>166</v>
      </c>
      <c r="G8" s="4" t="s">
        <v>39</v>
      </c>
      <c r="H8" s="5">
        <v>59210.526315789473</v>
      </c>
      <c r="I8" s="5">
        <v>59523.809523809527</v>
      </c>
      <c r="J8" s="5">
        <v>59375</v>
      </c>
    </row>
    <row r="9" spans="1:10" x14ac:dyDescent="0.3">
      <c r="G9" s="4" t="s">
        <v>40</v>
      </c>
      <c r="H9" s="5">
        <v>65000</v>
      </c>
      <c r="I9" s="5">
        <v>52500</v>
      </c>
      <c r="J9" s="5">
        <v>59767.441860465115</v>
      </c>
    </row>
    <row r="10" spans="1:10" x14ac:dyDescent="0.3">
      <c r="G10" s="4" t="s">
        <v>43</v>
      </c>
      <c r="H10" s="5">
        <v>62500</v>
      </c>
      <c r="I10" s="5">
        <v>56282.051282051281</v>
      </c>
      <c r="J10" s="5">
        <v>59578.313253012049</v>
      </c>
    </row>
    <row r="28" spans="1:4" x14ac:dyDescent="0.3">
      <c r="A28" s="3" t="s">
        <v>46</v>
      </c>
      <c r="B28" s="3" t="s">
        <v>45</v>
      </c>
    </row>
    <row r="29" spans="1:4" x14ac:dyDescent="0.3">
      <c r="A29" s="3" t="s">
        <v>42</v>
      </c>
      <c r="B29" t="s">
        <v>18</v>
      </c>
      <c r="C29" t="s">
        <v>15</v>
      </c>
      <c r="D29" t="s">
        <v>43</v>
      </c>
    </row>
    <row r="30" spans="1:4" x14ac:dyDescent="0.3">
      <c r="A30" s="4" t="s">
        <v>48</v>
      </c>
      <c r="B30">
        <v>7</v>
      </c>
      <c r="C30">
        <v>12</v>
      </c>
      <c r="D30">
        <v>19</v>
      </c>
    </row>
    <row r="31" spans="1:4" x14ac:dyDescent="0.3">
      <c r="A31" s="4" t="s">
        <v>49</v>
      </c>
      <c r="B31">
        <v>60</v>
      </c>
      <c r="C31">
        <v>50</v>
      </c>
      <c r="D31">
        <v>110</v>
      </c>
    </row>
    <row r="32" spans="1:4" x14ac:dyDescent="0.3">
      <c r="A32" s="4" t="s">
        <v>50</v>
      </c>
      <c r="B32">
        <v>21</v>
      </c>
      <c r="C32">
        <v>16</v>
      </c>
      <c r="D32">
        <v>37</v>
      </c>
    </row>
    <row r="33" spans="1:4" x14ac:dyDescent="0.3">
      <c r="A33" s="4" t="s">
        <v>43</v>
      </c>
      <c r="B33">
        <v>88</v>
      </c>
      <c r="C33">
        <v>78</v>
      </c>
      <c r="D33">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F9CA-F14B-478B-932A-81D5412547BB}">
  <dimension ref="A1:R5"/>
  <sheetViews>
    <sheetView showGridLines="0" topLeftCell="A2" zoomScale="75" workbookViewId="0">
      <selection activeCell="T18" sqref="T18"/>
    </sheetView>
  </sheetViews>
  <sheetFormatPr defaultRowHeight="14.4" x14ac:dyDescent="0.3"/>
  <sheetData>
    <row r="1" spans="1:18" x14ac:dyDescent="0.3">
      <c r="A1" s="6" t="s">
        <v>51</v>
      </c>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vinit Moroliya</cp:lastModifiedBy>
  <dcterms:created xsi:type="dcterms:W3CDTF">2022-03-18T02:50:57Z</dcterms:created>
  <dcterms:modified xsi:type="dcterms:W3CDTF">2026-06-21T09:13:32Z</dcterms:modified>
</cp:coreProperties>
</file>